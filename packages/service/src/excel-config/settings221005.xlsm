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Workbook________"/>
  <mc:AlternateContent xmlns:mc="http://schemas.openxmlformats.org/markup-compatibility/2006">
    <mc:Choice Requires="x15">
      <x15ac:absPath xmlns:x15ac="http://schemas.microsoft.com/office/spreadsheetml/2010/11/ac" url="C:\work\stone\packages\service\src\excel-config\"/>
    </mc:Choice>
  </mc:AlternateContent>
  <xr:revisionPtr revIDLastSave="0" documentId="13_ncr:1_{DB1503FB-727D-4C9C-BA79-1434D7CD103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Правила смены статусов" sheetId="3" r:id="rId1"/>
    <sheet name="Роли" sheetId="2" r:id="rId2"/>
    <sheet name="Статусы и Роли" sheetId="1" r:id="rId3"/>
    <sheet name="Пользователи" sheetId="4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1" l="1"/>
  <c r="B8" i="1"/>
  <c r="B6" i="1"/>
  <c r="B3" i="1"/>
  <c r="B7" i="1"/>
  <c r="B9" i="1"/>
  <c r="B12" i="1"/>
  <c r="B5" i="1"/>
  <c r="B4" i="1"/>
  <c r="B11" i="1"/>
  <c r="B2" i="1"/>
  <c r="B10" i="1"/>
  <c r="B12" i="3"/>
  <c r="B6" i="3"/>
  <c r="B5" i="3"/>
  <c r="B8" i="3"/>
  <c r="B9" i="3"/>
  <c r="B2" i="3"/>
  <c r="B11" i="3"/>
  <c r="B3" i="3"/>
  <c r="B13" i="3"/>
  <c r="B7" i="3"/>
  <c r="B4" i="3"/>
  <c r="B10" i="3"/>
</calcChain>
</file>

<file path=xl/sharedStrings.xml><?xml version="1.0" encoding="utf-8"?>
<sst xmlns="http://schemas.openxmlformats.org/spreadsheetml/2006/main" count="362" uniqueCount="135">
  <si>
    <t>Цвет</t>
  </si>
  <si>
    <t>Сценарий</t>
  </si>
  <si>
    <t>Статус</t>
  </si>
  <si>
    <t>Снабженец</t>
  </si>
  <si>
    <t>Склад</t>
  </si>
  <si>
    <t>Строитель</t>
  </si>
  <si>
    <t>Технадзор</t>
  </si>
  <si>
    <t>Архитектор</t>
  </si>
  <si>
    <t>Наблюдатель</t>
  </si>
  <si>
    <t>статус по умолчанию, его получают все элементы при первичной загрузке модели от проектировщиков</t>
  </si>
  <si>
    <t>Спроектирован</t>
  </si>
  <si>
    <t>ставится вручную, в случае если потребовалось перепроектирование элемента</t>
  </si>
  <si>
    <t>Проектируется</t>
  </si>
  <si>
    <t>х</t>
  </si>
  <si>
    <t>ставить вручную, когда произведено авансирование производства</t>
  </si>
  <si>
    <t>Заказан</t>
  </si>
  <si>
    <t>ставиться вручную, когда переведена 100% оплата</t>
  </si>
  <si>
    <t>Оплачен</t>
  </si>
  <si>
    <t>ставиться вручную, когда элемент изготовлен и готов к отгрузке с завода</t>
  </si>
  <si>
    <t>Изготовлен</t>
  </si>
  <si>
    <t>ставиться вручную, когда элемент принят на складе</t>
  </si>
  <si>
    <t>Доставлен/принят</t>
  </si>
  <si>
    <t>ставиться вручную, когда элемент предан со склада заказчику</t>
  </si>
  <si>
    <t>Передан подрядчику</t>
  </si>
  <si>
    <t>ставиться вручную, когда элемент смонтрован на здании</t>
  </si>
  <si>
    <t>Смонтирован</t>
  </si>
  <si>
    <t>ставиться вручную, после приемки Технадзором</t>
  </si>
  <si>
    <t>Принят стройконтролем</t>
  </si>
  <si>
    <t>ставиться вручную, в случае повреждения и необходимости замены</t>
  </si>
  <si>
    <t>Поврежден/заменить</t>
  </si>
  <si>
    <t>ставиться вручную, в случае несоответсвия  и необходимости замены</t>
  </si>
  <si>
    <t>Неподходит/заменить</t>
  </si>
  <si>
    <t>системный статус, проставляется автоматически, если по какой-то причине у элемента на назначен статус. не может быть назначен пользователем</t>
  </si>
  <si>
    <t>Неизветсен</t>
  </si>
  <si>
    <t>Роль</t>
  </si>
  <si>
    <t>Описание (пока для справки)</t>
  </si>
  <si>
    <t>Админ</t>
  </si>
  <si>
    <t>управляет пользователями, правами, статусами и т.д.</t>
  </si>
  <si>
    <t>представитель заказчика на заводе</t>
  </si>
  <si>
    <t>сотрудник, который принимает камень на складе</t>
  </si>
  <si>
    <t>основная роль на стройке отвечающая за монтаж</t>
  </si>
  <si>
    <t>принимает факт и корректность монтажа</t>
  </si>
  <si>
    <t>опционально мониторит камень, может заброковать его как по причине повреждения там и по несоответствию дизайн проекту</t>
  </si>
  <si>
    <t>бесправная роль с точки зрения статусов, может все посмотреть и прокоментировать</t>
  </si>
  <si>
    <t>ставиться вручную, в сулчае повреждения и необходимости замены</t>
  </si>
  <si>
    <t>ставиться вручную, в сулчае несоответсвия  и необходимости замены</t>
  </si>
  <si>
    <t>userId</t>
  </si>
  <si>
    <t>email</t>
  </si>
  <si>
    <t>пароль</t>
  </si>
  <si>
    <t>имя</t>
  </si>
  <si>
    <t>фамилия</t>
  </si>
  <si>
    <t>компания</t>
  </si>
  <si>
    <t>должность</t>
  </si>
  <si>
    <t>miramaxis@gmail.com</t>
  </si>
  <si>
    <t>Максим</t>
  </si>
  <si>
    <t>Шаммасов</t>
  </si>
  <si>
    <t>WebStone</t>
  </si>
  <si>
    <t>miramaxis+supplier@gmail.com</t>
  </si>
  <si>
    <t>Владислав</t>
  </si>
  <si>
    <t>x</t>
  </si>
  <si>
    <t>vkgpmail@gmail.com</t>
  </si>
  <si>
    <t>Владимир</t>
  </si>
  <si>
    <t>К</t>
  </si>
  <si>
    <t>Сергей</t>
  </si>
  <si>
    <t>Труфанов</t>
  </si>
  <si>
    <t>Чуйков</t>
  </si>
  <si>
    <t>Программист</t>
  </si>
  <si>
    <t>Менеджер</t>
  </si>
  <si>
    <t>Инспектор</t>
  </si>
  <si>
    <t>Владелец</t>
  </si>
  <si>
    <t>chuykovsv@yandex.ru</t>
  </si>
  <si>
    <t>trufanov@gmail.com</t>
  </si>
  <si>
    <t>miramaxis+warehouse@gmail.com</t>
  </si>
  <si>
    <t>Фёдор</t>
  </si>
  <si>
    <t>Завхозов</t>
  </si>
  <si>
    <t>Кладовщик</t>
  </si>
  <si>
    <t>miramaxis+developer@gmail.com</t>
  </si>
  <si>
    <t>Амина</t>
  </si>
  <si>
    <t>Давид</t>
  </si>
  <si>
    <t>Архифельман</t>
  </si>
  <si>
    <t>Надзорина</t>
  </si>
  <si>
    <t>Прорабов</t>
  </si>
  <si>
    <t>Алексей</t>
  </si>
  <si>
    <t>Перевозов</t>
  </si>
  <si>
    <t>miramaxis+supercisor@gmail.com</t>
  </si>
  <si>
    <t>miramaxis+architect@gmail.com</t>
  </si>
  <si>
    <t>Начальник строительства</t>
  </si>
  <si>
    <t>Главный архитектор</t>
  </si>
  <si>
    <t>CoolDesign LLC</t>
  </si>
  <si>
    <t>Tuda Logistics</t>
  </si>
  <si>
    <t>МУП ТехКонтроль</t>
  </si>
  <si>
    <t>ИП Складчий</t>
  </si>
  <si>
    <t>Строй АО</t>
  </si>
  <si>
    <t>Экспедитор</t>
  </si>
  <si>
    <t>statusId</t>
  </si>
  <si>
    <t>roleId</t>
  </si>
  <si>
    <t>smguest@gmail.com</t>
  </si>
  <si>
    <t>smguest</t>
  </si>
  <si>
    <t>Гость</t>
  </si>
  <si>
    <t>kravtsov@sminex.com</t>
  </si>
  <si>
    <t>Кравцов</t>
  </si>
  <si>
    <t>Sminex</t>
  </si>
  <si>
    <t>Инженер ПТО по фасаду</t>
  </si>
  <si>
    <t xml:space="preserve">dushin@sminex.com </t>
  </si>
  <si>
    <t>2Kaudit</t>
  </si>
  <si>
    <t>Никита</t>
  </si>
  <si>
    <t>Душин</t>
  </si>
  <si>
    <t>Инженер по снабжению проекта</t>
  </si>
  <si>
    <t>krylova@sminex.com</t>
  </si>
  <si>
    <t>a123456</t>
  </si>
  <si>
    <t>Анастасия</t>
  </si>
  <si>
    <t>Крылова</t>
  </si>
  <si>
    <t>Руководитель группы разработки продукта</t>
  </si>
  <si>
    <t xml:space="preserve">MaeGovannen </t>
  </si>
  <si>
    <t>test-k2</t>
  </si>
  <si>
    <t>test-k1</t>
  </si>
  <si>
    <t>k1</t>
  </si>
  <si>
    <t>k2</t>
  </si>
  <si>
    <t>k3</t>
  </si>
  <si>
    <t>cube</t>
  </si>
  <si>
    <t>mockup</t>
  </si>
  <si>
    <t>big64</t>
  </si>
  <si>
    <t>k2-name@sminex.com</t>
  </si>
  <si>
    <t>renamek2</t>
  </si>
  <si>
    <t>name</t>
  </si>
  <si>
    <t>Переименователь</t>
  </si>
  <si>
    <t>ya1</t>
  </si>
  <si>
    <t>4;5;6;7;8;9;10</t>
  </si>
  <si>
    <t>5;6;7;8;9;10</t>
  </si>
  <si>
    <t>6;7;8;9;10</t>
  </si>
  <si>
    <t>7;8;9;10</t>
  </si>
  <si>
    <t>8;9;10</t>
  </si>
  <si>
    <t>9;10</t>
  </si>
  <si>
    <t>10</t>
  </si>
  <si>
    <t>Включат в статистике statusId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</si>
</sst>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scheme val="minor"/>
    </font>
    <font>
      <b/>
      <sz val="11"/>
      <color theme="1"/>
      <name val="Calibri"/>
    </font>
    <font>
      <sz val="11"/>
      <color theme="1"/>
      <name val="Calibri"/>
    </font>
    <font>
      <b/>
      <sz val="11"/>
      <color rgb="FF7F7F7F"/>
      <name val="Calibri"/>
    </font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charset val="1"/>
    </font>
    <font>
      <sz val="11"/>
      <color rgb="FF000000"/>
      <name val="Calibri"/>
      <family val="2"/>
      <charset val="1"/>
    </font>
    <font>
      <u/>
      <sz val="11"/>
      <color rgb="FF0563C1"/>
      <name val="Calibri"/>
      <family val="2"/>
      <charset val="1"/>
    </font>
    <font>
      <sz val="11"/>
      <color rgb="FF000000"/>
      <name val="Calibri"/>
      <family val="2"/>
      <charset val="204"/>
    </font>
    <font>
      <b/>
      <sz val="11"/>
      <color rgb="FF000000"/>
      <name val="Calibri"/>
      <family val="2"/>
      <charset val="1"/>
    </font>
    <font>
      <b/>
      <sz val="11"/>
      <color rgb="FF000000"/>
      <name val="Calibri"/>
      <charset val="1"/>
    </font>
    <font>
      <b/>
      <sz val="11"/>
      <color rgb="FF7F7F7F"/>
      <name val="Calibri"/>
      <charset val="1"/>
    </font>
    <font>
      <b/>
      <sz val="11"/>
      <color rgb="FF7F7F7F"/>
      <name val="Calibri"/>
      <family val="2"/>
      <charset val="1"/>
    </font>
    <font>
      <b/>
      <u/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A5A5A5"/>
        <bgColor rgb="FFA5A5A5"/>
      </patternFill>
    </fill>
    <fill>
      <patternFill patternType="solid">
        <fgColor rgb="FF7030A0"/>
        <bgColor rgb="FF7030A0"/>
      </patternFill>
    </fill>
    <fill>
      <patternFill patternType="solid">
        <fgColor rgb="FF1677FF"/>
        <bgColor rgb="FF1677FF"/>
      </patternFill>
    </fill>
    <fill>
      <patternFill patternType="solid">
        <fgColor rgb="FFC5E0B3"/>
        <bgColor rgb="FFC5E0B3"/>
      </patternFill>
    </fill>
    <fill>
      <patternFill patternType="solid">
        <fgColor rgb="FFFFFF00"/>
        <bgColor rgb="FFFFFF00"/>
      </patternFill>
    </fill>
    <fill>
      <patternFill patternType="solid">
        <fgColor rgb="FFFF9900"/>
        <bgColor rgb="FFFF9900"/>
      </patternFill>
    </fill>
    <fill>
      <patternFill patternType="solid">
        <fgColor rgb="FF833C0B"/>
        <bgColor rgb="FF833C0B"/>
      </patternFill>
    </fill>
    <fill>
      <patternFill patternType="solid">
        <fgColor rgb="FFFF33CC"/>
        <bgColor rgb="FFFF33CC"/>
      </patternFill>
    </fill>
    <fill>
      <patternFill patternType="solid">
        <fgColor rgb="FF00B050"/>
        <bgColor rgb="FF00B050"/>
      </patternFill>
    </fill>
    <fill>
      <patternFill patternType="solid">
        <fgColor rgb="FFFF0000"/>
        <bgColor rgb="FFFF0000"/>
      </patternFill>
    </fill>
    <fill>
      <patternFill patternType="solid">
        <fgColor rgb="FFC00000"/>
        <bgColor rgb="FFC00000"/>
      </patternFill>
    </fill>
    <fill>
      <patternFill patternType="solid">
        <fgColor rgb="FFF7CAAC"/>
        <bgColor rgb="FFF7CAAC"/>
      </patternFill>
    </fill>
    <fill>
      <patternFill patternType="solid">
        <fgColor rgb="FFFFFFFF"/>
        <bgColor rgb="FFFFFFCC"/>
      </patternFill>
    </fill>
  </fills>
  <borders count="4">
    <border>
      <left/>
      <right/>
      <top/>
      <bottom/>
      <diagonal/>
    </border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6">
    <xf numFmtId="0" fontId="0" fillId="0" borderId="0"/>
    <xf numFmtId="0" fontId="5" fillId="0" borderId="1"/>
    <xf numFmtId="0" fontId="6" fillId="0" borderId="1" applyNumberFormat="0" applyFill="0" applyBorder="0" applyAlignment="0" applyProtection="0"/>
    <xf numFmtId="0" fontId="11" fillId="0" borderId="1"/>
    <xf numFmtId="0" fontId="13" fillId="0" borderId="1" applyBorder="0" applyProtection="0"/>
    <xf numFmtId="0" fontId="12" fillId="0" borderId="1"/>
  </cellStyleXfs>
  <cellXfs count="74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2" fillId="2" borderId="1" xfId="0" applyFont="1" applyFill="1" applyBorder="1"/>
    <xf numFmtId="0" fontId="2" fillId="0" borderId="0" xfId="0" applyFont="1"/>
    <xf numFmtId="0" fontId="2" fillId="0" borderId="0" xfId="0" applyFont="1" applyAlignment="1">
      <alignment horizontal="center"/>
    </xf>
    <xf numFmtId="0" fontId="2" fillId="3" borderId="1" xfId="0" applyFont="1" applyFill="1" applyBorder="1"/>
    <xf numFmtId="0" fontId="2" fillId="4" borderId="1" xfId="0" applyFont="1" applyFill="1" applyBorder="1"/>
    <xf numFmtId="0" fontId="2" fillId="5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8" borderId="1" xfId="0" applyFont="1" applyFill="1" applyBorder="1"/>
    <xf numFmtId="0" fontId="2" fillId="9" borderId="1" xfId="0" applyFont="1" applyFill="1" applyBorder="1"/>
    <xf numFmtId="0" fontId="2" fillId="10" borderId="1" xfId="0" applyFont="1" applyFill="1" applyBorder="1"/>
    <xf numFmtId="0" fontId="2" fillId="11" borderId="1" xfId="0" applyFont="1" applyFill="1" applyBorder="1"/>
    <xf numFmtId="0" fontId="2" fillId="12" borderId="1" xfId="0" applyFont="1" applyFill="1" applyBorder="1"/>
    <xf numFmtId="0" fontId="2" fillId="13" borderId="1" xfId="0" applyFont="1" applyFill="1" applyBorder="1"/>
    <xf numFmtId="0" fontId="3" fillId="0" borderId="0" xfId="0" applyFont="1"/>
    <xf numFmtId="0" fontId="4" fillId="0" borderId="0" xfId="0" applyFont="1"/>
    <xf numFmtId="0" fontId="2" fillId="0" borderId="0" xfId="0" applyFont="1" applyAlignment="1">
      <alignment wrapText="1"/>
    </xf>
    <xf numFmtId="0" fontId="5" fillId="0" borderId="1" xfId="1"/>
    <xf numFmtId="0" fontId="6" fillId="0" borderId="1" xfId="2"/>
    <xf numFmtId="0" fontId="4" fillId="0" borderId="0" xfId="0" applyFont="1" applyAlignment="1">
      <alignment wrapText="1"/>
    </xf>
    <xf numFmtId="0" fontId="7" fillId="0" borderId="0" xfId="0" applyFont="1"/>
    <xf numFmtId="0" fontId="8" fillId="0" borderId="0" xfId="0" applyFont="1" applyAlignment="1"/>
    <xf numFmtId="0" fontId="0" fillId="0" borderId="0" xfId="0" applyFont="1" applyAlignment="1">
      <alignment wrapText="1"/>
    </xf>
    <xf numFmtId="0" fontId="5" fillId="0" borderId="1" xfId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2" applyBorder="1" applyAlignment="1"/>
    <xf numFmtId="0" fontId="5" fillId="0" borderId="1" xfId="1" applyFill="1"/>
    <xf numFmtId="0" fontId="9" fillId="0" borderId="0" xfId="0" applyFont="1" applyAlignment="1"/>
    <xf numFmtId="0" fontId="0" fillId="0" borderId="0" xfId="0" applyFont="1" applyAlignment="1">
      <alignment horizontal="center"/>
    </xf>
    <xf numFmtId="0" fontId="9" fillId="0" borderId="1" xfId="1" applyFont="1"/>
    <xf numFmtId="0" fontId="5" fillId="0" borderId="1" xfId="1" applyAlignment="1">
      <alignment horizontal="left"/>
    </xf>
    <xf numFmtId="0" fontId="5" fillId="0" borderId="1" xfId="1" applyFill="1" applyAlignment="1">
      <alignment horizontal="left"/>
    </xf>
    <xf numFmtId="0" fontId="5" fillId="0" borderId="0" xfId="0" applyFont="1" applyAlignment="1">
      <alignment horizontal="right"/>
    </xf>
    <xf numFmtId="0" fontId="10" fillId="0" borderId="0" xfId="0" applyFont="1" applyAlignment="1"/>
    <xf numFmtId="0" fontId="11" fillId="0" borderId="1" xfId="3"/>
    <xf numFmtId="0" fontId="12" fillId="0" borderId="1" xfId="5" applyAlignment="1">
      <alignment horizontal="left"/>
    </xf>
    <xf numFmtId="0" fontId="12" fillId="0" borderId="1" xfId="3" applyFont="1" applyAlignment="1">
      <alignment horizontal="center" vertical="center"/>
    </xf>
    <xf numFmtId="0" fontId="11" fillId="0" borderId="1" xfId="3" applyFont="1" applyAlignment="1">
      <alignment horizontal="center" vertical="center"/>
    </xf>
    <xf numFmtId="0" fontId="14" fillId="0" borderId="2" xfId="3" applyFont="1" applyBorder="1" applyAlignment="1">
      <alignment vertical="center"/>
    </xf>
    <xf numFmtId="0" fontId="13" fillId="0" borderId="2" xfId="4" applyFont="1" applyBorder="1" applyAlignment="1" applyProtection="1">
      <alignment vertical="center"/>
    </xf>
    <xf numFmtId="0" fontId="14" fillId="0" borderId="2" xfId="3" applyFont="1" applyBorder="1" applyAlignment="1">
      <alignment vertical="center" wrapText="1"/>
    </xf>
    <xf numFmtId="0" fontId="6" fillId="0" borderId="2" xfId="2" applyBorder="1" applyAlignment="1" applyProtection="1"/>
    <xf numFmtId="0" fontId="6" fillId="14" borderId="2" xfId="2" applyFill="1" applyBorder="1" applyAlignment="1" applyProtection="1">
      <alignment vertical="center"/>
    </xf>
    <xf numFmtId="0" fontId="14" fillId="0" borderId="2" xfId="3" applyFont="1" applyBorder="1" applyAlignment="1">
      <alignment horizontal="right" vertical="center"/>
    </xf>
    <xf numFmtId="0" fontId="14" fillId="14" borderId="2" xfId="3" applyFont="1" applyFill="1" applyBorder="1" applyAlignment="1">
      <alignment horizontal="right" vertical="center"/>
    </xf>
    <xf numFmtId="0" fontId="11" fillId="0" borderId="1" xfId="3"/>
    <xf numFmtId="0" fontId="16" fillId="0" borderId="1" xfId="3" applyFont="1"/>
    <xf numFmtId="0" fontId="17" fillId="0" borderId="1" xfId="3" applyFont="1"/>
    <xf numFmtId="0" fontId="11" fillId="0" borderId="1" xfId="3" applyFont="1" applyAlignment="1">
      <alignment horizontal="center"/>
    </xf>
    <xf numFmtId="0" fontId="11" fillId="0" borderId="1" xfId="3" applyFont="1" applyAlignment="1">
      <alignment wrapText="1"/>
    </xf>
    <xf numFmtId="0" fontId="15" fillId="0" borderId="1" xfId="3" applyFont="1"/>
    <xf numFmtId="0" fontId="16" fillId="0" borderId="1" xfId="3" applyFont="1" applyAlignment="1">
      <alignment horizontal="center"/>
    </xf>
    <xf numFmtId="0" fontId="12" fillId="0" borderId="1" xfId="3" applyFont="1" applyAlignment="1">
      <alignment horizontal="center"/>
    </xf>
    <xf numFmtId="0" fontId="15" fillId="0" borderId="1" xfId="3" applyFont="1" applyAlignment="1">
      <alignment horizontal="center"/>
    </xf>
    <xf numFmtId="0" fontId="18" fillId="0" borderId="1" xfId="3" applyFont="1" applyAlignment="1">
      <alignment horizontal="center"/>
    </xf>
    <xf numFmtId="0" fontId="19" fillId="0" borderId="2" xfId="0" applyFont="1" applyBorder="1" applyAlignment="1">
      <alignment horizontal="right"/>
    </xf>
    <xf numFmtId="0" fontId="5" fillId="0" borderId="2" xfId="0" applyFont="1" applyBorder="1" applyAlignment="1">
      <alignment horizontal="center" vertical="center"/>
    </xf>
    <xf numFmtId="0" fontId="19" fillId="0" borderId="3" xfId="0" applyFont="1" applyFill="1" applyBorder="1" applyAlignment="1">
      <alignment horizontal="right"/>
    </xf>
    <xf numFmtId="0" fontId="5" fillId="0" borderId="2" xfId="0" applyFont="1" applyFill="1" applyBorder="1" applyAlignment="1">
      <alignment horizontal="center" vertical="center"/>
    </xf>
    <xf numFmtId="0" fontId="0" fillId="0" borderId="2" xfId="0" applyFont="1" applyBorder="1" applyAlignment="1"/>
    <xf numFmtId="0" fontId="12" fillId="0" borderId="1" xfId="5" applyFill="1" applyBorder="1" applyAlignment="1">
      <alignment horizontal="left"/>
    </xf>
    <xf numFmtId="0" fontId="0" fillId="0" borderId="0" xfId="0" applyFont="1" applyAlignment="1">
      <alignment horizontal="right"/>
    </xf>
    <xf numFmtId="0" fontId="11" fillId="0" borderId="1" xfId="3" applyFill="1" applyBorder="1"/>
    <xf numFmtId="0" fontId="14" fillId="0" borderId="1" xfId="3" applyFont="1" applyFill="1" applyBorder="1" applyAlignment="1">
      <alignment vertical="center"/>
    </xf>
    <xf numFmtId="0" fontId="0" fillId="0" borderId="2" xfId="0" applyFont="1" applyBorder="1" applyAlignment="1">
      <alignment horizontal="center" vertical="center"/>
    </xf>
    <xf numFmtId="0" fontId="5" fillId="0" borderId="2" xfId="0" applyFont="1" applyFill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1" fillId="0" borderId="0" xfId="0" applyFont="1" applyAlignment="1">
      <alignment horizontal="left"/>
    </xf>
    <xf numFmtId="49" fontId="2" fillId="0" borderId="0" xfId="0" applyNumberFormat="1" applyFont="1" applyAlignment="1">
      <alignment horizontal="left" wrapText="1"/>
    </xf>
    <xf numFmtId="49" fontId="0" fillId="0" borderId="0" xfId="0" applyNumberFormat="1" applyFont="1" applyAlignment="1"/>
  </cellXfs>
  <cellStyles count="6">
    <cellStyle name="Hyperlink" xfId="2" builtinId="8"/>
    <cellStyle name="Normal" xfId="0" builtinId="0"/>
    <cellStyle name="Гиперссылка 2" xfId="4" xr:uid="{4FC9083E-2671-46BA-9B30-C2F09DB1678E}"/>
    <cellStyle name="Обычный 2" xfId="1" xr:uid="{776E03F7-FE52-4EBA-84EC-20BF32082E8E}"/>
    <cellStyle name="Обычный 2 2" xfId="5" xr:uid="{2349F10F-3575-40E5-A825-88EAD72B10CE}"/>
    <cellStyle name="Обычный 3" xfId="3" xr:uid="{4FDE77DE-ECBF-42F2-8945-8E7CB459825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smguest@gmail.com" TargetMode="External"/><Relationship Id="rId13" Type="http://schemas.openxmlformats.org/officeDocument/2006/relationships/printerSettings" Target="../printerSettings/printerSettings4.bin"/><Relationship Id="rId3" Type="http://schemas.openxmlformats.org/officeDocument/2006/relationships/hyperlink" Target="mailto:miramaxis+architect@gmail.com" TargetMode="External"/><Relationship Id="rId7" Type="http://schemas.openxmlformats.org/officeDocument/2006/relationships/hyperlink" Target="mailto:miramaxis+supercisor@gmail.com" TargetMode="External"/><Relationship Id="rId12" Type="http://schemas.openxmlformats.org/officeDocument/2006/relationships/hyperlink" Target="mailto:k2-name@sminex.com" TargetMode="External"/><Relationship Id="rId2" Type="http://schemas.openxmlformats.org/officeDocument/2006/relationships/hyperlink" Target="mailto:miramaxis+supplier@gmail.com" TargetMode="External"/><Relationship Id="rId1" Type="http://schemas.openxmlformats.org/officeDocument/2006/relationships/hyperlink" Target="mailto:miramaxis@gmail.com" TargetMode="External"/><Relationship Id="rId6" Type="http://schemas.openxmlformats.org/officeDocument/2006/relationships/hyperlink" Target="mailto:miramaxis+warehouse@gmail.com" TargetMode="External"/><Relationship Id="rId11" Type="http://schemas.openxmlformats.org/officeDocument/2006/relationships/hyperlink" Target="mailto:krylova@sminex.com" TargetMode="External"/><Relationship Id="rId5" Type="http://schemas.openxmlformats.org/officeDocument/2006/relationships/hyperlink" Target="mailto:trufanov@gmail.com" TargetMode="External"/><Relationship Id="rId10" Type="http://schemas.openxmlformats.org/officeDocument/2006/relationships/hyperlink" Target="mailto:dushin@sminex.com" TargetMode="External"/><Relationship Id="rId4" Type="http://schemas.openxmlformats.org/officeDocument/2006/relationships/hyperlink" Target="mailto:miramaxis+developer@gmail.com" TargetMode="External"/><Relationship Id="rId9" Type="http://schemas.openxmlformats.org/officeDocument/2006/relationships/hyperlink" Target="mailto:kravtsov@sminex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___3"/>
  <dimension ref="A1:Q1000"/>
  <sheetViews>
    <sheetView tabSelected="1" workbookViewId="0">
      <selection activeCell="D2" sqref="D2"/>
    </sheetView>
  </sheetViews>
  <sheetFormatPr defaultColWidth="14.44140625" defaultRowHeight="15" customHeight="1" x14ac:dyDescent="0.3"/>
  <cols>
    <col min="1" max="1" width="4.88671875" customWidth="1"/>
    <col min="2" max="2" width="8.6640625" customWidth="1"/>
    <col min="3" max="3" width="66.109375" customWidth="1"/>
    <col min="4" max="4" width="21.88671875" customWidth="1"/>
    <col min="5" max="5" width="24.5546875" customWidth="1"/>
    <col min="6" max="6" width="15.33203125" customWidth="1"/>
    <col min="7" max="7" width="14.5546875" customWidth="1"/>
    <col min="8" max="8" width="8.44140625" customWidth="1"/>
    <col min="9" max="9" width="9.109375" customWidth="1"/>
    <col min="10" max="10" width="11.6640625" customWidth="1"/>
    <col min="11" max="11" width="14" customWidth="1"/>
    <col min="12" max="12" width="13" customWidth="1"/>
    <col min="13" max="13" width="13.109375" customWidth="1"/>
    <col min="14" max="14" width="14.6640625" customWidth="1"/>
    <col min="15" max="15" width="14.109375" customWidth="1"/>
    <col min="16" max="16" width="15.6640625" customWidth="1"/>
    <col min="17" max="28" width="8.6640625" customWidth="1"/>
  </cols>
  <sheetData>
    <row r="1" spans="1:17" ht="14.4" x14ac:dyDescent="0.3">
      <c r="A1" s="31" t="s">
        <v>94</v>
      </c>
      <c r="B1" s="1" t="s">
        <v>0</v>
      </c>
      <c r="C1" s="1" t="s">
        <v>1</v>
      </c>
      <c r="D1" s="71" t="s">
        <v>134</v>
      </c>
      <c r="E1" s="1" t="s">
        <v>2</v>
      </c>
      <c r="F1" s="1" t="s">
        <v>10</v>
      </c>
      <c r="G1" s="1" t="s">
        <v>12</v>
      </c>
      <c r="H1" s="1" t="s">
        <v>15</v>
      </c>
      <c r="I1" s="1" t="s">
        <v>17</v>
      </c>
      <c r="J1" s="1" t="s">
        <v>19</v>
      </c>
      <c r="K1" s="1" t="s">
        <v>21</v>
      </c>
      <c r="L1" s="1" t="s">
        <v>23</v>
      </c>
      <c r="M1" s="1" t="s">
        <v>25</v>
      </c>
      <c r="N1" s="1" t="s">
        <v>27</v>
      </c>
      <c r="O1" s="1" t="s">
        <v>29</v>
      </c>
      <c r="P1" s="1" t="s">
        <v>31</v>
      </c>
      <c r="Q1" s="17" t="s">
        <v>33</v>
      </c>
    </row>
    <row r="2" spans="1:17" ht="28.8" x14ac:dyDescent="0.3">
      <c r="A2" s="32">
        <v>2</v>
      </c>
      <c r="B2" s="3" t="str">
        <f>_xlfn.CONCAT("#",getRGB1(B2))</f>
        <v>#A5A5A5</v>
      </c>
      <c r="C2" s="19" t="s">
        <v>9</v>
      </c>
      <c r="D2" s="72" t="s">
        <v>127</v>
      </c>
      <c r="E2" s="1" t="s">
        <v>10</v>
      </c>
      <c r="F2" s="5"/>
      <c r="G2" s="5"/>
      <c r="H2" s="5" t="s">
        <v>13</v>
      </c>
      <c r="I2" s="5"/>
      <c r="J2" s="5"/>
      <c r="K2" s="5"/>
    </row>
    <row r="3" spans="1:17" ht="28.8" x14ac:dyDescent="0.3">
      <c r="A3" s="32">
        <v>3</v>
      </c>
      <c r="B3" s="6" t="str">
        <f t="shared" ref="B3:B13" si="0">_xlfn.CONCAT("#",getRGB1(B3))</f>
        <v>#7030A0</v>
      </c>
      <c r="C3" s="19" t="s">
        <v>11</v>
      </c>
      <c r="D3" s="72"/>
      <c r="E3" s="1" t="s">
        <v>12</v>
      </c>
      <c r="F3" s="5" t="s">
        <v>13</v>
      </c>
      <c r="G3" s="5"/>
      <c r="H3" s="5"/>
      <c r="I3" s="5"/>
      <c r="J3" s="5"/>
      <c r="K3" s="5"/>
    </row>
    <row r="4" spans="1:17" ht="14.4" x14ac:dyDescent="0.3">
      <c r="A4" s="32">
        <v>4</v>
      </c>
      <c r="B4" s="7" t="str">
        <f>_xlfn.CONCAT("#",getRGB1(B4))</f>
        <v>#1677FF</v>
      </c>
      <c r="C4" s="19" t="s">
        <v>14</v>
      </c>
      <c r="D4" s="72" t="s">
        <v>128</v>
      </c>
      <c r="E4" s="1" t="s">
        <v>15</v>
      </c>
      <c r="F4" s="5"/>
      <c r="G4" s="5"/>
      <c r="H4" s="5"/>
      <c r="I4" s="5" t="s">
        <v>13</v>
      </c>
      <c r="J4" s="5"/>
      <c r="K4" s="5"/>
    </row>
    <row r="5" spans="1:17" ht="14.4" x14ac:dyDescent="0.3">
      <c r="A5" s="32">
        <v>5</v>
      </c>
      <c r="B5" s="8" t="str">
        <f t="shared" si="0"/>
        <v>#C5E0B3</v>
      </c>
      <c r="C5" s="19" t="s">
        <v>16</v>
      </c>
      <c r="D5" s="72" t="s">
        <v>129</v>
      </c>
      <c r="E5" s="1" t="s">
        <v>17</v>
      </c>
      <c r="F5" s="5"/>
      <c r="G5" s="5"/>
      <c r="H5" s="5"/>
      <c r="I5" s="5"/>
      <c r="J5" s="5" t="s">
        <v>13</v>
      </c>
      <c r="K5" s="5"/>
    </row>
    <row r="6" spans="1:17" ht="14.4" x14ac:dyDescent="0.3">
      <c r="A6" s="32">
        <v>6</v>
      </c>
      <c r="B6" s="9" t="str">
        <f t="shared" si="0"/>
        <v>#FFFF00</v>
      </c>
      <c r="C6" s="19" t="s">
        <v>18</v>
      </c>
      <c r="D6" s="72" t="s">
        <v>130</v>
      </c>
      <c r="E6" s="1" t="s">
        <v>19</v>
      </c>
      <c r="G6" s="5"/>
      <c r="H6" s="5"/>
      <c r="I6" s="5"/>
      <c r="J6" s="5"/>
      <c r="K6" s="5" t="s">
        <v>13</v>
      </c>
      <c r="O6" s="5" t="s">
        <v>13</v>
      </c>
    </row>
    <row r="7" spans="1:17" ht="14.4" x14ac:dyDescent="0.3">
      <c r="A7" s="32">
        <v>7</v>
      </c>
      <c r="B7" s="10" t="str">
        <f t="shared" si="0"/>
        <v>#FF9900</v>
      </c>
      <c r="C7" s="19" t="s">
        <v>20</v>
      </c>
      <c r="D7" s="72" t="s">
        <v>131</v>
      </c>
      <c r="E7" s="1" t="s">
        <v>21</v>
      </c>
      <c r="F7" s="5"/>
      <c r="G7" s="5"/>
      <c r="H7" s="5"/>
      <c r="I7" s="5"/>
      <c r="J7" s="5"/>
      <c r="K7" s="5"/>
      <c r="L7" s="5" t="s">
        <v>13</v>
      </c>
      <c r="O7" s="5" t="s">
        <v>13</v>
      </c>
    </row>
    <row r="8" spans="1:17" ht="14.4" x14ac:dyDescent="0.3">
      <c r="A8" s="32">
        <v>8</v>
      </c>
      <c r="B8" s="11" t="str">
        <f t="shared" si="0"/>
        <v>#833C0B</v>
      </c>
      <c r="C8" s="19" t="s">
        <v>22</v>
      </c>
      <c r="D8" s="72" t="s">
        <v>132</v>
      </c>
      <c r="E8" s="1" t="s">
        <v>23</v>
      </c>
      <c r="F8" s="5"/>
      <c r="G8" s="5"/>
      <c r="H8" s="5"/>
      <c r="I8" s="5"/>
      <c r="J8" s="5"/>
      <c r="K8" s="5"/>
      <c r="M8" s="5" t="s">
        <v>13</v>
      </c>
      <c r="O8" s="5" t="s">
        <v>13</v>
      </c>
    </row>
    <row r="9" spans="1:17" ht="14.4" x14ac:dyDescent="0.3">
      <c r="A9" s="32">
        <v>9</v>
      </c>
      <c r="B9" s="12" t="str">
        <f t="shared" si="0"/>
        <v>#FF33CC</v>
      </c>
      <c r="C9" s="19" t="s">
        <v>24</v>
      </c>
      <c r="D9" s="72" t="s">
        <v>133</v>
      </c>
      <c r="E9" s="1" t="s">
        <v>25</v>
      </c>
      <c r="F9" s="5"/>
      <c r="G9" s="5"/>
      <c r="H9" s="5"/>
      <c r="I9" s="5"/>
      <c r="J9" s="5"/>
      <c r="K9" s="5"/>
      <c r="N9" s="5" t="s">
        <v>13</v>
      </c>
      <c r="O9" s="5" t="s">
        <v>13</v>
      </c>
      <c r="P9" s="5" t="s">
        <v>13</v>
      </c>
    </row>
    <row r="10" spans="1:17" ht="14.4" x14ac:dyDescent="0.3">
      <c r="A10" s="32">
        <v>10</v>
      </c>
      <c r="B10" s="13" t="str">
        <f t="shared" si="0"/>
        <v>#00B050</v>
      </c>
      <c r="C10" s="19" t="s">
        <v>26</v>
      </c>
      <c r="D10" s="72"/>
      <c r="E10" s="1" t="s">
        <v>27</v>
      </c>
      <c r="F10" s="5"/>
      <c r="G10" s="5"/>
      <c r="H10" s="5"/>
      <c r="I10" s="5"/>
      <c r="J10" s="5"/>
      <c r="K10" s="5"/>
      <c r="O10" s="5" t="s">
        <v>13</v>
      </c>
    </row>
    <row r="11" spans="1:17" ht="14.4" x14ac:dyDescent="0.3">
      <c r="A11" s="32">
        <v>11</v>
      </c>
      <c r="B11" s="14" t="str">
        <f t="shared" si="0"/>
        <v>#FF0000</v>
      </c>
      <c r="C11" s="19" t="s">
        <v>44</v>
      </c>
      <c r="D11" s="72"/>
      <c r="E11" s="1" t="s">
        <v>29</v>
      </c>
      <c r="F11" s="5" t="s">
        <v>13</v>
      </c>
      <c r="G11" s="5"/>
      <c r="H11" s="5" t="s">
        <v>13</v>
      </c>
      <c r="I11" s="5"/>
      <c r="J11" s="5"/>
    </row>
    <row r="12" spans="1:17" ht="14.4" x14ac:dyDescent="0.3">
      <c r="A12" s="32">
        <v>12</v>
      </c>
      <c r="B12" s="15" t="str">
        <f t="shared" si="0"/>
        <v>#C00000</v>
      </c>
      <c r="C12" s="19" t="s">
        <v>45</v>
      </c>
      <c r="D12" s="72"/>
      <c r="E12" s="1" t="s">
        <v>31</v>
      </c>
      <c r="F12" s="5" t="s">
        <v>13</v>
      </c>
      <c r="G12" s="5" t="s">
        <v>13</v>
      </c>
      <c r="H12" s="5"/>
      <c r="I12" s="5"/>
      <c r="J12" s="5"/>
      <c r="K12" s="5"/>
    </row>
    <row r="13" spans="1:17" ht="43.2" x14ac:dyDescent="0.3">
      <c r="A13" s="32">
        <v>1</v>
      </c>
      <c r="B13" s="16" t="str">
        <f t="shared" si="0"/>
        <v>#F7CAAC</v>
      </c>
      <c r="C13" s="19" t="s">
        <v>32</v>
      </c>
      <c r="D13" s="72"/>
      <c r="E13" s="17" t="s">
        <v>33</v>
      </c>
      <c r="F13" s="5"/>
      <c r="G13" s="5"/>
      <c r="H13" s="5"/>
      <c r="I13" s="5"/>
      <c r="J13" s="5"/>
      <c r="K13" s="5"/>
    </row>
    <row r="14" spans="1:17" ht="15" customHeight="1" x14ac:dyDescent="0.3">
      <c r="D14" s="73"/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___2"/>
  <dimension ref="A1:C1000"/>
  <sheetViews>
    <sheetView workbookViewId="0">
      <selection activeCell="C8" sqref="A1:C8"/>
    </sheetView>
  </sheetViews>
  <sheetFormatPr defaultColWidth="14.44140625" defaultRowHeight="15" customHeight="1" x14ac:dyDescent="0.3"/>
  <cols>
    <col min="1" max="1" width="6.109375" customWidth="1"/>
    <col min="2" max="2" width="28.109375" customWidth="1"/>
    <col min="3" max="3" width="62" customWidth="1"/>
    <col min="4" max="27" width="8.6640625" customWidth="1"/>
  </cols>
  <sheetData>
    <row r="1" spans="1:3" ht="14.4" x14ac:dyDescent="0.3">
      <c r="A1" s="31" t="s">
        <v>95</v>
      </c>
      <c r="B1" s="1" t="s">
        <v>34</v>
      </c>
      <c r="C1" s="18" t="s">
        <v>35</v>
      </c>
    </row>
    <row r="2" spans="1:3" ht="14.4" x14ac:dyDescent="0.3">
      <c r="A2" s="32">
        <v>1</v>
      </c>
      <c r="B2" s="18" t="s">
        <v>36</v>
      </c>
      <c r="C2" s="22" t="s">
        <v>37</v>
      </c>
    </row>
    <row r="3" spans="1:3" ht="14.4" x14ac:dyDescent="0.3">
      <c r="A3" s="32">
        <v>3</v>
      </c>
      <c r="B3" s="4" t="s">
        <v>3</v>
      </c>
      <c r="C3" s="22" t="s">
        <v>38</v>
      </c>
    </row>
    <row r="4" spans="1:3" ht="14.4" x14ac:dyDescent="0.3">
      <c r="A4" s="32">
        <v>4</v>
      </c>
      <c r="B4" s="23" t="s">
        <v>4</v>
      </c>
      <c r="C4" s="22" t="s">
        <v>39</v>
      </c>
    </row>
    <row r="5" spans="1:3" ht="14.4" x14ac:dyDescent="0.3">
      <c r="A5" s="32">
        <v>5</v>
      </c>
      <c r="B5" s="4" t="s">
        <v>5</v>
      </c>
      <c r="C5" s="22" t="s">
        <v>40</v>
      </c>
    </row>
    <row r="6" spans="1:3" ht="14.4" x14ac:dyDescent="0.3">
      <c r="A6" s="32">
        <v>6</v>
      </c>
      <c r="B6" s="4" t="s">
        <v>6</v>
      </c>
      <c r="C6" s="22" t="s">
        <v>41</v>
      </c>
    </row>
    <row r="7" spans="1:3" ht="28.8" x14ac:dyDescent="0.3">
      <c r="A7" s="32">
        <v>7</v>
      </c>
      <c r="B7" s="4" t="s">
        <v>7</v>
      </c>
      <c r="C7" s="22" t="s">
        <v>42</v>
      </c>
    </row>
    <row r="8" spans="1:3" ht="28.8" x14ac:dyDescent="0.3">
      <c r="A8" s="32">
        <v>2</v>
      </c>
      <c r="B8" s="4" t="s">
        <v>8</v>
      </c>
      <c r="C8" s="22" t="s">
        <v>43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dataValidations count="1">
    <dataValidation type="list" allowBlank="1" showErrorMessage="1" sqref="B2:B8" xr:uid="{00000000-0002-0000-0100-000000000000}">
      <formula1>$B$2:$B$8</formula1>
    </dataValidation>
  </dataValidations>
  <pageMargins left="0.7" right="0.7" top="0.75" bottom="0.75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1"/>
  <dimension ref="A1:K1000"/>
  <sheetViews>
    <sheetView workbookViewId="0">
      <selection activeCell="F9" sqref="F9"/>
    </sheetView>
  </sheetViews>
  <sheetFormatPr defaultColWidth="14.44140625" defaultRowHeight="15" customHeight="1" x14ac:dyDescent="0.3"/>
  <cols>
    <col min="1" max="1" width="8" customWidth="1"/>
    <col min="2" max="2" width="8.6640625" customWidth="1"/>
    <col min="3" max="3" width="52.6640625" customWidth="1"/>
    <col min="4" max="4" width="22.5546875" customWidth="1"/>
    <col min="5" max="5" width="7.88671875" customWidth="1"/>
    <col min="6" max="6" width="11.109375" customWidth="1"/>
    <col min="7" max="7" width="11.88671875" customWidth="1"/>
    <col min="8" max="8" width="11.33203125" customWidth="1"/>
    <col min="9" max="9" width="14" customWidth="1"/>
    <col min="10" max="10" width="13" customWidth="1"/>
    <col min="11" max="11" width="11.88671875" customWidth="1"/>
    <col min="12" max="28" width="8.6640625" customWidth="1"/>
  </cols>
  <sheetData>
    <row r="1" spans="1:11" ht="14.4" x14ac:dyDescent="0.3">
      <c r="A1" s="31" t="s">
        <v>94</v>
      </c>
      <c r="B1" s="1" t="s">
        <v>0</v>
      </c>
      <c r="C1" s="50" t="s">
        <v>1</v>
      </c>
      <c r="D1" s="50" t="s">
        <v>2</v>
      </c>
      <c r="E1" s="54" t="s">
        <v>36</v>
      </c>
      <c r="F1" s="55" t="s">
        <v>3</v>
      </c>
      <c r="G1" s="55" t="s">
        <v>4</v>
      </c>
      <c r="H1" s="55" t="s">
        <v>5</v>
      </c>
      <c r="I1" s="55" t="s">
        <v>6</v>
      </c>
      <c r="J1" s="55" t="s">
        <v>7</v>
      </c>
      <c r="K1" s="55" t="s">
        <v>8</v>
      </c>
    </row>
    <row r="2" spans="1:11" ht="28.8" x14ac:dyDescent="0.3">
      <c r="A2" s="32">
        <v>2</v>
      </c>
      <c r="B2" s="3" t="str">
        <f>_xlfn.CONCAT("#",getRGB1(B2))</f>
        <v>#A5A5A5</v>
      </c>
      <c r="C2" s="53" t="s">
        <v>9</v>
      </c>
      <c r="D2" s="50" t="s">
        <v>10</v>
      </c>
      <c r="E2" s="56" t="s">
        <v>59</v>
      </c>
      <c r="F2" s="52"/>
      <c r="G2" s="52"/>
      <c r="H2" s="52"/>
      <c r="I2" s="52"/>
      <c r="J2" s="52"/>
      <c r="K2" s="52"/>
    </row>
    <row r="3" spans="1:11" ht="28.8" x14ac:dyDescent="0.3">
      <c r="A3" s="32">
        <v>3</v>
      </c>
      <c r="B3" s="6" t="str">
        <f t="shared" ref="B3:B13" si="0">_xlfn.CONCAT("#",getRGB1(B3))</f>
        <v>#7030A0</v>
      </c>
      <c r="C3" s="53" t="s">
        <v>11</v>
      </c>
      <c r="D3" s="50" t="s">
        <v>12</v>
      </c>
      <c r="E3" s="52" t="s">
        <v>59</v>
      </c>
      <c r="F3" s="52" t="s">
        <v>59</v>
      </c>
      <c r="G3" s="52"/>
      <c r="H3" s="52" t="s">
        <v>59</v>
      </c>
      <c r="I3" s="52"/>
      <c r="J3" s="52" t="s">
        <v>59</v>
      </c>
      <c r="K3" s="52"/>
    </row>
    <row r="4" spans="1:11" ht="28.8" x14ac:dyDescent="0.3">
      <c r="A4" s="32">
        <v>4</v>
      </c>
      <c r="B4" s="7" t="str">
        <f>_xlfn.CONCAT("#",getRGB1(B4))</f>
        <v>#1677FF</v>
      </c>
      <c r="C4" s="53" t="s">
        <v>14</v>
      </c>
      <c r="D4" s="50" t="s">
        <v>15</v>
      </c>
      <c r="E4" s="52" t="s">
        <v>59</v>
      </c>
      <c r="F4" s="52" t="s">
        <v>59</v>
      </c>
      <c r="G4" s="52"/>
      <c r="H4" s="52"/>
      <c r="I4" s="52"/>
      <c r="J4" s="52"/>
      <c r="K4" s="52"/>
    </row>
    <row r="5" spans="1:11" ht="14.4" x14ac:dyDescent="0.3">
      <c r="A5" s="32">
        <v>5</v>
      </c>
      <c r="B5" s="8" t="str">
        <f t="shared" si="0"/>
        <v>#C5E0B3</v>
      </c>
      <c r="C5" s="53" t="s">
        <v>16</v>
      </c>
      <c r="D5" s="50" t="s">
        <v>17</v>
      </c>
      <c r="E5" s="52" t="s">
        <v>59</v>
      </c>
      <c r="F5" s="52" t="s">
        <v>59</v>
      </c>
      <c r="G5" s="52"/>
      <c r="H5" s="52"/>
      <c r="I5" s="52"/>
      <c r="J5" s="52"/>
      <c r="K5" s="52"/>
    </row>
    <row r="6" spans="1:11" ht="28.8" x14ac:dyDescent="0.3">
      <c r="A6" s="32">
        <v>6</v>
      </c>
      <c r="B6" s="9" t="str">
        <f t="shared" si="0"/>
        <v>#FFFF00</v>
      </c>
      <c r="C6" s="53" t="s">
        <v>18</v>
      </c>
      <c r="D6" s="50" t="s">
        <v>19</v>
      </c>
      <c r="E6" s="52" t="s">
        <v>59</v>
      </c>
      <c r="F6" s="52" t="s">
        <v>59</v>
      </c>
      <c r="G6" s="52"/>
      <c r="H6" s="52"/>
      <c r="I6" s="52"/>
      <c r="J6" s="52"/>
      <c r="K6" s="52"/>
    </row>
    <row r="7" spans="1:11" ht="14.4" x14ac:dyDescent="0.3">
      <c r="A7" s="32">
        <v>7</v>
      </c>
      <c r="B7" s="10" t="str">
        <f t="shared" si="0"/>
        <v>#FF9900</v>
      </c>
      <c r="C7" s="53" t="s">
        <v>20</v>
      </c>
      <c r="D7" s="50" t="s">
        <v>21</v>
      </c>
      <c r="E7" s="56" t="s">
        <v>59</v>
      </c>
      <c r="F7" s="52"/>
      <c r="G7" s="52" t="s">
        <v>59</v>
      </c>
      <c r="H7" s="52"/>
      <c r="I7" s="52"/>
      <c r="J7" s="52"/>
      <c r="K7" s="52"/>
    </row>
    <row r="8" spans="1:11" ht="28.8" x14ac:dyDescent="0.3">
      <c r="A8" s="32">
        <v>8</v>
      </c>
      <c r="B8" s="11" t="str">
        <f t="shared" si="0"/>
        <v>#833C0B</v>
      </c>
      <c r="C8" s="53" t="s">
        <v>22</v>
      </c>
      <c r="D8" s="50" t="s">
        <v>23</v>
      </c>
      <c r="E8" s="57" t="s">
        <v>59</v>
      </c>
      <c r="F8" s="52"/>
      <c r="G8" s="52" t="s">
        <v>59</v>
      </c>
      <c r="H8" s="52"/>
      <c r="I8" s="52"/>
      <c r="J8" s="52"/>
      <c r="K8" s="52"/>
    </row>
    <row r="9" spans="1:11" ht="14.4" x14ac:dyDescent="0.3">
      <c r="A9" s="32">
        <v>9</v>
      </c>
      <c r="B9" s="12" t="str">
        <f t="shared" si="0"/>
        <v>#FF33CC</v>
      </c>
      <c r="C9" s="53" t="s">
        <v>24</v>
      </c>
      <c r="D9" s="50" t="s">
        <v>25</v>
      </c>
      <c r="E9" s="57" t="s">
        <v>59</v>
      </c>
      <c r="F9" s="52"/>
      <c r="G9" s="52"/>
      <c r="H9" s="52" t="s">
        <v>59</v>
      </c>
      <c r="I9" s="52"/>
      <c r="J9" s="52"/>
      <c r="K9" s="52"/>
    </row>
    <row r="10" spans="1:11" ht="14.4" x14ac:dyDescent="0.3">
      <c r="A10" s="32">
        <v>10</v>
      </c>
      <c r="B10" s="13" t="str">
        <f t="shared" si="0"/>
        <v>#00B050</v>
      </c>
      <c r="C10" s="53" t="s">
        <v>26</v>
      </c>
      <c r="D10" s="50" t="s">
        <v>27</v>
      </c>
      <c r="E10" s="57" t="s">
        <v>59</v>
      </c>
      <c r="F10" s="52"/>
      <c r="G10" s="52"/>
      <c r="H10" s="52"/>
      <c r="I10" s="52" t="s">
        <v>13</v>
      </c>
      <c r="J10" s="52"/>
      <c r="K10" s="52"/>
    </row>
    <row r="11" spans="1:11" ht="28.8" x14ac:dyDescent="0.3">
      <c r="A11" s="32">
        <v>11</v>
      </c>
      <c r="B11" s="14" t="str">
        <f t="shared" si="0"/>
        <v>#FF0000</v>
      </c>
      <c r="C11" s="53" t="s">
        <v>28</v>
      </c>
      <c r="D11" s="50" t="s">
        <v>29</v>
      </c>
      <c r="E11" s="57" t="s">
        <v>59</v>
      </c>
      <c r="F11" s="52"/>
      <c r="G11" s="52"/>
      <c r="H11" s="52" t="s">
        <v>59</v>
      </c>
      <c r="I11" s="52" t="s">
        <v>13</v>
      </c>
      <c r="J11" s="52" t="s">
        <v>59</v>
      </c>
      <c r="K11" s="49"/>
    </row>
    <row r="12" spans="1:11" ht="28.8" x14ac:dyDescent="0.3">
      <c r="A12" s="32">
        <v>12</v>
      </c>
      <c r="B12" s="15" t="str">
        <f t="shared" si="0"/>
        <v>#C00000</v>
      </c>
      <c r="C12" s="53" t="s">
        <v>30</v>
      </c>
      <c r="D12" s="50" t="s">
        <v>31</v>
      </c>
      <c r="E12" s="57" t="s">
        <v>59</v>
      </c>
      <c r="F12" s="52"/>
      <c r="G12" s="52"/>
      <c r="H12" s="52"/>
      <c r="I12" s="52"/>
      <c r="J12" s="52" t="s">
        <v>59</v>
      </c>
      <c r="K12" s="52"/>
    </row>
    <row r="13" spans="1:11" ht="43.2" x14ac:dyDescent="0.3">
      <c r="A13" s="32">
        <v>1</v>
      </c>
      <c r="B13" s="16" t="str">
        <f t="shared" si="0"/>
        <v>#F7CAAC</v>
      </c>
      <c r="C13" s="53" t="s">
        <v>32</v>
      </c>
      <c r="D13" s="51" t="s">
        <v>33</v>
      </c>
      <c r="E13" s="58" t="s">
        <v>59</v>
      </c>
      <c r="F13" s="52"/>
      <c r="G13" s="52"/>
      <c r="H13" s="52"/>
      <c r="I13" s="52"/>
      <c r="J13" s="52"/>
      <c r="K13" s="52"/>
    </row>
    <row r="14" spans="1:11" ht="15" customHeight="1" x14ac:dyDescent="0.3">
      <c r="C14" s="25"/>
      <c r="E14" s="24"/>
    </row>
    <row r="15" spans="1:11" ht="15" customHeight="1" x14ac:dyDescent="0.3">
      <c r="C15" s="25"/>
    </row>
    <row r="16" spans="1:11" ht="15" customHeight="1" x14ac:dyDescent="0.3">
      <c r="C16" s="25"/>
    </row>
    <row r="21" spans="2:2" ht="15.75" customHeight="1" x14ac:dyDescent="0.3"/>
    <row r="22" spans="2:2" ht="15.75" customHeight="1" x14ac:dyDescent="0.3"/>
    <row r="23" spans="2:2" ht="15.75" customHeight="1" x14ac:dyDescent="0.3"/>
    <row r="24" spans="2:2" ht="15.75" customHeight="1" x14ac:dyDescent="0.3"/>
    <row r="25" spans="2:2" ht="15.75" customHeight="1" x14ac:dyDescent="0.3"/>
    <row r="26" spans="2:2" ht="15.75" customHeight="1" x14ac:dyDescent="0.3"/>
    <row r="27" spans="2:2" ht="15.75" customHeight="1" x14ac:dyDescent="0.3">
      <c r="B27" s="32"/>
    </row>
    <row r="28" spans="2:2" ht="15.75" customHeight="1" x14ac:dyDescent="0.3"/>
    <row r="29" spans="2:2" ht="15.75" customHeight="1" x14ac:dyDescent="0.3"/>
    <row r="30" spans="2:2" ht="15.75" customHeight="1" x14ac:dyDescent="0.3"/>
    <row r="31" spans="2:2" ht="15.75" customHeight="1" x14ac:dyDescent="0.3"/>
    <row r="32" spans="2: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dataValidations count="1">
    <dataValidation type="list" allowBlank="1" showErrorMessage="1" sqref="F1:K1" xr:uid="{00000000-0002-0000-0000-000000000000}">
      <formula1>$B$2:$B$7</formula1>
    </dataValidation>
  </dataValidations>
  <pageMargins left="0.7" right="0.7" top="0.75" bottom="0.75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44A08-8DA4-43F6-8FF5-37C403886761}">
  <dimension ref="A1:W27"/>
  <sheetViews>
    <sheetView topLeftCell="E1" workbookViewId="0">
      <selection activeCell="W12" sqref="W12"/>
    </sheetView>
  </sheetViews>
  <sheetFormatPr defaultRowHeight="14.4" x14ac:dyDescent="0.3"/>
  <cols>
    <col min="1" max="1" width="4.6640625" customWidth="1"/>
    <col min="2" max="2" width="31.5546875" customWidth="1"/>
    <col min="3" max="3" width="24.33203125" customWidth="1"/>
    <col min="4" max="4" width="15" customWidth="1"/>
    <col min="5" max="5" width="13.21875" customWidth="1"/>
    <col min="6" max="6" width="19.88671875" customWidth="1"/>
    <col min="7" max="7" width="21.21875" customWidth="1"/>
    <col min="9" max="9" width="10.77734375" customWidth="1"/>
    <col min="10" max="10" width="6" customWidth="1"/>
    <col min="11" max="11" width="9.21875" customWidth="1"/>
    <col min="12" max="12" width="10.6640625" customWidth="1"/>
    <col min="13" max="13" width="11.21875" customWidth="1"/>
    <col min="14" max="14" width="12.77734375" customWidth="1"/>
  </cols>
  <sheetData>
    <row r="1" spans="1:23" x14ac:dyDescent="0.3">
      <c r="A1" s="33" t="s">
        <v>46</v>
      </c>
      <c r="B1" s="33" t="s">
        <v>47</v>
      </c>
      <c r="C1" s="33" t="s">
        <v>48</v>
      </c>
      <c r="D1" s="33" t="s">
        <v>49</v>
      </c>
      <c r="E1" s="33" t="s">
        <v>50</v>
      </c>
      <c r="F1" s="33" t="s">
        <v>51</v>
      </c>
      <c r="G1" s="33" t="s">
        <v>52</v>
      </c>
      <c r="H1" s="33" t="s">
        <v>36</v>
      </c>
      <c r="I1" s="2" t="s">
        <v>3</v>
      </c>
      <c r="J1" s="2" t="s">
        <v>4</v>
      </c>
      <c r="K1" s="2" t="s">
        <v>5</v>
      </c>
      <c r="L1" s="2" t="s">
        <v>6</v>
      </c>
      <c r="M1" s="2" t="s">
        <v>7</v>
      </c>
      <c r="N1" s="2" t="s">
        <v>8</v>
      </c>
      <c r="O1" s="59" t="s">
        <v>116</v>
      </c>
      <c r="P1" s="59" t="s">
        <v>117</v>
      </c>
      <c r="Q1" s="59" t="s">
        <v>118</v>
      </c>
      <c r="R1" s="59" t="s">
        <v>115</v>
      </c>
      <c r="S1" s="59" t="s">
        <v>114</v>
      </c>
      <c r="T1" s="61" t="s">
        <v>120</v>
      </c>
      <c r="U1" s="61" t="s">
        <v>119</v>
      </c>
      <c r="V1" s="61" t="s">
        <v>121</v>
      </c>
      <c r="W1" s="61" t="s">
        <v>126</v>
      </c>
    </row>
    <row r="2" spans="1:23" x14ac:dyDescent="0.3">
      <c r="A2" s="34">
        <v>1</v>
      </c>
      <c r="B2" s="21" t="s">
        <v>53</v>
      </c>
      <c r="C2" s="20">
        <v>123456</v>
      </c>
      <c r="D2" s="20" t="s">
        <v>54</v>
      </c>
      <c r="E2" s="20" t="s">
        <v>55</v>
      </c>
      <c r="F2" s="20" t="s">
        <v>56</v>
      </c>
      <c r="G2" s="20" t="s">
        <v>66</v>
      </c>
      <c r="H2" s="26" t="s">
        <v>13</v>
      </c>
      <c r="I2" s="28" t="s">
        <v>59</v>
      </c>
      <c r="J2" s="28" t="s">
        <v>59</v>
      </c>
      <c r="K2" s="28" t="s">
        <v>59</v>
      </c>
      <c r="L2" s="28" t="s">
        <v>59</v>
      </c>
      <c r="M2" s="28" t="s">
        <v>59</v>
      </c>
      <c r="N2" s="28" t="s">
        <v>59</v>
      </c>
      <c r="O2" s="60" t="s">
        <v>59</v>
      </c>
      <c r="P2" s="60" t="s">
        <v>59</v>
      </c>
      <c r="Q2" s="60" t="s">
        <v>59</v>
      </c>
      <c r="R2" s="60" t="s">
        <v>59</v>
      </c>
      <c r="S2" s="60" t="s">
        <v>59</v>
      </c>
      <c r="T2" s="62" t="s">
        <v>59</v>
      </c>
      <c r="U2" s="62" t="s">
        <v>59</v>
      </c>
      <c r="V2" s="62" t="s">
        <v>59</v>
      </c>
      <c r="W2" s="69" t="s">
        <v>59</v>
      </c>
    </row>
    <row r="3" spans="1:23" x14ac:dyDescent="0.3">
      <c r="A3" s="34">
        <v>2</v>
      </c>
      <c r="B3" s="21" t="s">
        <v>60</v>
      </c>
      <c r="C3" s="20">
        <v>123456</v>
      </c>
      <c r="D3" s="20" t="s">
        <v>61</v>
      </c>
      <c r="E3" s="20" t="s">
        <v>62</v>
      </c>
      <c r="F3" s="20" t="s">
        <v>56</v>
      </c>
      <c r="G3" s="20" t="s">
        <v>67</v>
      </c>
      <c r="H3" s="26" t="s">
        <v>13</v>
      </c>
      <c r="I3" s="28" t="s">
        <v>59</v>
      </c>
      <c r="J3" s="28" t="s">
        <v>59</v>
      </c>
      <c r="K3" s="28" t="s">
        <v>59</v>
      </c>
      <c r="L3" s="28" t="s">
        <v>59</v>
      </c>
      <c r="M3" s="28" t="s">
        <v>59</v>
      </c>
      <c r="N3" s="28" t="s">
        <v>59</v>
      </c>
      <c r="O3" s="60" t="s">
        <v>59</v>
      </c>
      <c r="P3" s="60" t="s">
        <v>59</v>
      </c>
      <c r="Q3" s="60" t="s">
        <v>59</v>
      </c>
      <c r="R3" s="60" t="s">
        <v>59</v>
      </c>
      <c r="S3" s="60" t="s">
        <v>59</v>
      </c>
      <c r="T3" s="63"/>
      <c r="U3" s="63"/>
      <c r="V3" s="63"/>
      <c r="W3" s="70" t="s">
        <v>59</v>
      </c>
    </row>
    <row r="4" spans="1:23" x14ac:dyDescent="0.3">
      <c r="A4" s="34">
        <v>3</v>
      </c>
      <c r="B4" s="21" t="s">
        <v>70</v>
      </c>
      <c r="C4" s="20">
        <v>123456</v>
      </c>
      <c r="D4" s="20" t="s">
        <v>63</v>
      </c>
      <c r="E4" s="20" t="s">
        <v>65</v>
      </c>
      <c r="F4" s="20" t="s">
        <v>56</v>
      </c>
      <c r="G4" s="20" t="s">
        <v>66</v>
      </c>
      <c r="H4" s="26" t="s">
        <v>13</v>
      </c>
      <c r="I4" s="28" t="s">
        <v>59</v>
      </c>
      <c r="J4" s="28" t="s">
        <v>59</v>
      </c>
      <c r="K4" s="28" t="s">
        <v>59</v>
      </c>
      <c r="L4" s="28" t="s">
        <v>59</v>
      </c>
      <c r="M4" s="28" t="s">
        <v>59</v>
      </c>
      <c r="N4" s="28" t="s">
        <v>59</v>
      </c>
      <c r="O4" s="60" t="s">
        <v>59</v>
      </c>
      <c r="P4" s="60" t="s">
        <v>59</v>
      </c>
      <c r="Q4" s="60" t="s">
        <v>59</v>
      </c>
      <c r="R4" s="60" t="s">
        <v>59</v>
      </c>
      <c r="S4" s="60" t="s">
        <v>59</v>
      </c>
      <c r="T4" s="63"/>
      <c r="U4" s="63"/>
      <c r="V4" s="63"/>
      <c r="W4" s="70" t="s">
        <v>59</v>
      </c>
    </row>
    <row r="5" spans="1:23" x14ac:dyDescent="0.3">
      <c r="A5" s="34">
        <v>4</v>
      </c>
      <c r="B5" s="21" t="s">
        <v>71</v>
      </c>
      <c r="C5" s="20">
        <v>123456</v>
      </c>
      <c r="D5" s="20" t="s">
        <v>63</v>
      </c>
      <c r="E5" s="20" t="s">
        <v>64</v>
      </c>
      <c r="F5" s="20" t="s">
        <v>56</v>
      </c>
      <c r="G5" s="20" t="s">
        <v>69</v>
      </c>
      <c r="H5" s="26" t="s">
        <v>13</v>
      </c>
      <c r="I5" s="28" t="s">
        <v>59</v>
      </c>
      <c r="J5" s="28" t="s">
        <v>59</v>
      </c>
      <c r="K5" s="28" t="s">
        <v>59</v>
      </c>
      <c r="L5" s="28" t="s">
        <v>59</v>
      </c>
      <c r="M5" s="28" t="s">
        <v>59</v>
      </c>
      <c r="N5" s="28" t="s">
        <v>59</v>
      </c>
      <c r="O5" s="60" t="s">
        <v>59</v>
      </c>
      <c r="P5" s="60" t="s">
        <v>59</v>
      </c>
      <c r="Q5" s="60" t="s">
        <v>59</v>
      </c>
      <c r="R5" s="60" t="s">
        <v>59</v>
      </c>
      <c r="S5" s="60" t="s">
        <v>59</v>
      </c>
      <c r="T5" s="63"/>
      <c r="U5" s="63"/>
      <c r="V5" s="63"/>
      <c r="W5" s="70" t="s">
        <v>59</v>
      </c>
    </row>
    <row r="6" spans="1:23" x14ac:dyDescent="0.3">
      <c r="A6" s="34">
        <v>5</v>
      </c>
      <c r="B6" s="21" t="s">
        <v>57</v>
      </c>
      <c r="C6" s="20">
        <v>123456</v>
      </c>
      <c r="D6" s="20" t="s">
        <v>82</v>
      </c>
      <c r="E6" s="20" t="s">
        <v>83</v>
      </c>
      <c r="F6" s="20" t="s">
        <v>89</v>
      </c>
      <c r="G6" s="20" t="s">
        <v>93</v>
      </c>
      <c r="H6" s="26"/>
      <c r="I6" s="28" t="s">
        <v>59</v>
      </c>
      <c r="J6" s="28"/>
      <c r="K6" s="28"/>
      <c r="L6" s="28"/>
      <c r="M6" s="28"/>
      <c r="N6" s="28"/>
      <c r="O6" s="60" t="s">
        <v>59</v>
      </c>
      <c r="P6" s="60" t="s">
        <v>59</v>
      </c>
      <c r="Q6" s="60" t="s">
        <v>59</v>
      </c>
      <c r="R6" s="60" t="s">
        <v>59</v>
      </c>
      <c r="S6" s="60" t="s">
        <v>59</v>
      </c>
      <c r="T6" s="63"/>
      <c r="U6" s="63"/>
      <c r="V6" s="63"/>
      <c r="W6" s="70" t="s">
        <v>59</v>
      </c>
    </row>
    <row r="7" spans="1:23" x14ac:dyDescent="0.3">
      <c r="A7" s="34">
        <v>6</v>
      </c>
      <c r="B7" s="29" t="s">
        <v>72</v>
      </c>
      <c r="C7" s="30">
        <v>123456</v>
      </c>
      <c r="D7" s="30" t="s">
        <v>73</v>
      </c>
      <c r="E7" s="30" t="s">
        <v>74</v>
      </c>
      <c r="F7" s="30" t="s">
        <v>91</v>
      </c>
      <c r="G7" s="30" t="s">
        <v>75</v>
      </c>
      <c r="H7" s="26"/>
      <c r="I7" s="28"/>
      <c r="J7" s="28" t="s">
        <v>59</v>
      </c>
      <c r="K7" s="27"/>
      <c r="L7" s="27"/>
      <c r="M7" s="27"/>
      <c r="N7" s="28"/>
      <c r="O7" s="60" t="s">
        <v>59</v>
      </c>
      <c r="P7" s="60" t="s">
        <v>59</v>
      </c>
      <c r="Q7" s="60" t="s">
        <v>59</v>
      </c>
      <c r="R7" s="60" t="s">
        <v>59</v>
      </c>
      <c r="S7" s="60" t="s">
        <v>59</v>
      </c>
      <c r="T7" s="63"/>
      <c r="U7" s="63"/>
      <c r="V7" s="63"/>
      <c r="W7" s="70" t="s">
        <v>59</v>
      </c>
    </row>
    <row r="8" spans="1:23" x14ac:dyDescent="0.3">
      <c r="A8" s="34">
        <v>7</v>
      </c>
      <c r="B8" s="21" t="s">
        <v>76</v>
      </c>
      <c r="C8" s="20">
        <v>123456</v>
      </c>
      <c r="D8" s="20" t="s">
        <v>58</v>
      </c>
      <c r="E8" s="20" t="s">
        <v>81</v>
      </c>
      <c r="F8" s="20" t="s">
        <v>92</v>
      </c>
      <c r="G8" s="20" t="s">
        <v>86</v>
      </c>
      <c r="H8" s="26"/>
      <c r="I8" s="27"/>
      <c r="J8" s="27"/>
      <c r="K8" s="28" t="s">
        <v>59</v>
      </c>
      <c r="L8" s="28"/>
      <c r="M8" s="27"/>
      <c r="N8" s="28" t="s">
        <v>59</v>
      </c>
      <c r="O8" s="60" t="s">
        <v>59</v>
      </c>
      <c r="P8" s="60" t="s">
        <v>59</v>
      </c>
      <c r="Q8" s="60" t="s">
        <v>59</v>
      </c>
      <c r="R8" s="60" t="s">
        <v>59</v>
      </c>
      <c r="S8" s="60" t="s">
        <v>59</v>
      </c>
      <c r="T8" s="63"/>
      <c r="U8" s="63"/>
      <c r="V8" s="63"/>
      <c r="W8" s="70" t="s">
        <v>59</v>
      </c>
    </row>
    <row r="9" spans="1:23" x14ac:dyDescent="0.3">
      <c r="A9" s="34">
        <v>8</v>
      </c>
      <c r="B9" s="21" t="s">
        <v>84</v>
      </c>
      <c r="C9" s="20">
        <v>123456</v>
      </c>
      <c r="D9" s="20" t="s">
        <v>77</v>
      </c>
      <c r="E9" s="20" t="s">
        <v>80</v>
      </c>
      <c r="F9" s="20" t="s">
        <v>90</v>
      </c>
      <c r="G9" s="20" t="s">
        <v>68</v>
      </c>
      <c r="H9" s="26"/>
      <c r="I9" s="27"/>
      <c r="J9" s="28"/>
      <c r="K9" s="28"/>
      <c r="L9" s="28" t="s">
        <v>59</v>
      </c>
      <c r="M9" s="27"/>
      <c r="N9" s="27"/>
      <c r="O9" s="60" t="s">
        <v>59</v>
      </c>
      <c r="P9" s="60" t="s">
        <v>59</v>
      </c>
      <c r="Q9" s="60" t="s">
        <v>59</v>
      </c>
      <c r="R9" s="60" t="s">
        <v>59</v>
      </c>
      <c r="S9" s="60" t="s">
        <v>59</v>
      </c>
      <c r="T9" s="63"/>
      <c r="U9" s="63"/>
      <c r="V9" s="63"/>
      <c r="W9" s="70" t="s">
        <v>59</v>
      </c>
    </row>
    <row r="10" spans="1:23" x14ac:dyDescent="0.3">
      <c r="A10" s="35">
        <v>9</v>
      </c>
      <c r="B10" s="21" t="s">
        <v>85</v>
      </c>
      <c r="C10" s="20">
        <v>123456</v>
      </c>
      <c r="D10" s="20" t="s">
        <v>78</v>
      </c>
      <c r="E10" s="20" t="s">
        <v>79</v>
      </c>
      <c r="F10" s="20" t="s">
        <v>88</v>
      </c>
      <c r="G10" s="20" t="s">
        <v>87</v>
      </c>
      <c r="H10" s="27"/>
      <c r="I10" s="27"/>
      <c r="J10" s="27"/>
      <c r="K10" s="27"/>
      <c r="L10" s="27"/>
      <c r="M10" s="28" t="s">
        <v>59</v>
      </c>
      <c r="N10" s="27"/>
      <c r="O10" s="60" t="s">
        <v>59</v>
      </c>
      <c r="P10" s="60" t="s">
        <v>59</v>
      </c>
      <c r="Q10" s="60" t="s">
        <v>59</v>
      </c>
      <c r="R10" s="60" t="s">
        <v>59</v>
      </c>
      <c r="S10" s="60" t="s">
        <v>59</v>
      </c>
      <c r="T10" s="63"/>
      <c r="U10" s="63"/>
      <c r="V10" s="63"/>
      <c r="W10" s="70" t="s">
        <v>59</v>
      </c>
    </row>
    <row r="11" spans="1:23" x14ac:dyDescent="0.3">
      <c r="A11" s="35">
        <v>10</v>
      </c>
      <c r="B11" s="29" t="s">
        <v>96</v>
      </c>
      <c r="C11" s="36" t="s">
        <v>97</v>
      </c>
      <c r="D11" s="30" t="s">
        <v>98</v>
      </c>
      <c r="E11" s="37" t="s">
        <v>98</v>
      </c>
      <c r="H11" s="27"/>
      <c r="I11" s="27"/>
      <c r="J11" s="27"/>
      <c r="K11" s="27"/>
      <c r="L11" s="27"/>
      <c r="M11" s="27"/>
      <c r="N11" s="28" t="s">
        <v>13</v>
      </c>
      <c r="O11" s="60" t="s">
        <v>59</v>
      </c>
      <c r="P11" s="60" t="s">
        <v>59</v>
      </c>
      <c r="Q11" s="60" t="s">
        <v>59</v>
      </c>
      <c r="R11" s="60" t="s">
        <v>59</v>
      </c>
      <c r="S11" s="60" t="s">
        <v>59</v>
      </c>
      <c r="T11" s="63"/>
      <c r="U11" s="63"/>
      <c r="V11" s="63"/>
      <c r="W11" s="70" t="s">
        <v>59</v>
      </c>
    </row>
    <row r="12" spans="1:23" x14ac:dyDescent="0.3">
      <c r="A12" s="39">
        <v>11</v>
      </c>
      <c r="B12" s="45" t="s">
        <v>99</v>
      </c>
      <c r="C12" s="47" t="s">
        <v>113</v>
      </c>
      <c r="D12" s="38" t="s">
        <v>82</v>
      </c>
      <c r="E12" s="38" t="s">
        <v>100</v>
      </c>
      <c r="F12" s="42" t="s">
        <v>101</v>
      </c>
      <c r="G12" s="42" t="s">
        <v>102</v>
      </c>
      <c r="H12" s="41"/>
      <c r="I12" s="40" t="s">
        <v>59</v>
      </c>
      <c r="J12" s="41"/>
      <c r="K12" s="41"/>
      <c r="L12" s="41"/>
      <c r="M12" s="41"/>
      <c r="N12" s="41"/>
      <c r="O12" s="60" t="s">
        <v>59</v>
      </c>
      <c r="P12" s="60" t="s">
        <v>59</v>
      </c>
      <c r="Q12" s="60" t="s">
        <v>59</v>
      </c>
      <c r="R12" s="60" t="s">
        <v>59</v>
      </c>
      <c r="S12" s="60" t="s">
        <v>59</v>
      </c>
      <c r="T12" s="63"/>
      <c r="U12" s="63"/>
      <c r="V12" s="63"/>
      <c r="W12" s="70"/>
    </row>
    <row r="13" spans="1:23" x14ac:dyDescent="0.3">
      <c r="A13" s="39">
        <v>12</v>
      </c>
      <c r="B13" s="43" t="s">
        <v>103</v>
      </c>
      <c r="C13" s="47" t="s">
        <v>104</v>
      </c>
      <c r="D13" s="38" t="s">
        <v>105</v>
      </c>
      <c r="E13" s="38" t="s">
        <v>106</v>
      </c>
      <c r="F13" s="42" t="s">
        <v>101</v>
      </c>
      <c r="G13" s="42" t="s">
        <v>107</v>
      </c>
      <c r="H13" s="41"/>
      <c r="I13" s="41"/>
      <c r="J13" s="40" t="s">
        <v>59</v>
      </c>
      <c r="K13" s="40" t="s">
        <v>59</v>
      </c>
      <c r="L13" s="41"/>
      <c r="M13" s="41"/>
      <c r="N13" s="41"/>
      <c r="O13" s="60" t="s">
        <v>59</v>
      </c>
      <c r="P13" s="60" t="s">
        <v>59</v>
      </c>
      <c r="Q13" s="60" t="s">
        <v>59</v>
      </c>
      <c r="R13" s="60"/>
      <c r="S13" s="60"/>
      <c r="T13" s="63"/>
      <c r="U13" s="63"/>
      <c r="V13" s="63"/>
      <c r="W13" s="70"/>
    </row>
    <row r="14" spans="1:23" ht="28.8" x14ac:dyDescent="0.3">
      <c r="A14" s="39">
        <v>13</v>
      </c>
      <c r="B14" s="46" t="s">
        <v>108</v>
      </c>
      <c r="C14" s="48" t="s">
        <v>109</v>
      </c>
      <c r="D14" s="38" t="s">
        <v>110</v>
      </c>
      <c r="E14" s="38" t="s">
        <v>111</v>
      </c>
      <c r="F14" s="42" t="s">
        <v>101</v>
      </c>
      <c r="G14" s="44" t="s">
        <v>112</v>
      </c>
      <c r="H14" s="41"/>
      <c r="I14" s="41"/>
      <c r="J14" s="41"/>
      <c r="K14" s="41"/>
      <c r="L14" s="41"/>
      <c r="M14" s="40" t="s">
        <v>59</v>
      </c>
      <c r="N14" s="41"/>
      <c r="O14" s="60" t="s">
        <v>59</v>
      </c>
      <c r="P14" s="60" t="s">
        <v>59</v>
      </c>
      <c r="Q14" s="60" t="s">
        <v>59</v>
      </c>
      <c r="R14" s="60"/>
      <c r="S14" s="60"/>
      <c r="T14" s="63"/>
      <c r="U14" s="63"/>
      <c r="V14" s="63"/>
      <c r="W14" s="70"/>
    </row>
    <row r="15" spans="1:23" x14ac:dyDescent="0.3">
      <c r="A15" s="64">
        <v>14</v>
      </c>
      <c r="B15" s="29" t="s">
        <v>122</v>
      </c>
      <c r="C15" s="65" t="s">
        <v>123</v>
      </c>
      <c r="D15" s="66" t="s">
        <v>117</v>
      </c>
      <c r="E15" s="66" t="s">
        <v>124</v>
      </c>
      <c r="F15" s="67" t="s">
        <v>101</v>
      </c>
      <c r="G15" t="s">
        <v>125</v>
      </c>
      <c r="H15" s="27" t="s">
        <v>59</v>
      </c>
      <c r="I15" s="27" t="s">
        <v>59</v>
      </c>
      <c r="J15" s="27" t="s">
        <v>59</v>
      </c>
      <c r="K15" s="27" t="s">
        <v>59</v>
      </c>
      <c r="L15" s="27" t="s">
        <v>59</v>
      </c>
      <c r="M15" s="27" t="s">
        <v>59</v>
      </c>
      <c r="N15" s="27" t="s">
        <v>59</v>
      </c>
      <c r="O15" s="68"/>
      <c r="P15" s="68" t="s">
        <v>59</v>
      </c>
      <c r="Q15" s="63"/>
      <c r="R15" s="63"/>
      <c r="S15" s="62" t="s">
        <v>59</v>
      </c>
      <c r="T15" s="63"/>
      <c r="U15" s="63"/>
      <c r="V15" s="63"/>
      <c r="W15" s="70"/>
    </row>
    <row r="16" spans="1:23" x14ac:dyDescent="0.3">
      <c r="H16" s="27"/>
      <c r="I16" s="27"/>
      <c r="J16" s="27"/>
      <c r="K16" s="27"/>
      <c r="L16" s="27"/>
      <c r="M16" s="27"/>
      <c r="N16" s="27"/>
      <c r="O16" s="27"/>
      <c r="P16" s="27"/>
    </row>
    <row r="17" spans="8:16" x14ac:dyDescent="0.3">
      <c r="H17" s="27"/>
      <c r="I17" s="27"/>
      <c r="J17" s="27"/>
      <c r="K17" s="27"/>
      <c r="L17" s="27"/>
      <c r="M17" s="27"/>
      <c r="N17" s="27"/>
      <c r="O17" s="27"/>
      <c r="P17" s="27"/>
    </row>
    <row r="18" spans="8:16" x14ac:dyDescent="0.3">
      <c r="H18" s="27"/>
      <c r="I18" s="27"/>
      <c r="J18" s="27"/>
      <c r="K18" s="27"/>
      <c r="L18" s="27"/>
      <c r="M18" s="27"/>
      <c r="N18" s="27"/>
      <c r="O18" s="27"/>
      <c r="P18" s="27"/>
    </row>
    <row r="19" spans="8:16" x14ac:dyDescent="0.3">
      <c r="H19" s="27"/>
      <c r="I19" s="27"/>
      <c r="J19" s="27"/>
      <c r="K19" s="27"/>
      <c r="L19" s="27"/>
      <c r="M19" s="27"/>
      <c r="N19" s="27"/>
      <c r="O19" s="27"/>
      <c r="P19" s="27"/>
    </row>
    <row r="20" spans="8:16" x14ac:dyDescent="0.3">
      <c r="H20" s="27"/>
      <c r="I20" s="27"/>
      <c r="J20" s="27"/>
      <c r="K20" s="27"/>
      <c r="L20" s="27"/>
      <c r="M20" s="27"/>
      <c r="N20" s="27"/>
      <c r="O20" s="27"/>
      <c r="P20" s="27"/>
    </row>
    <row r="21" spans="8:16" x14ac:dyDescent="0.3">
      <c r="H21" s="27"/>
      <c r="I21" s="27"/>
      <c r="J21" s="27"/>
      <c r="K21" s="27"/>
      <c r="L21" s="27"/>
      <c r="M21" s="27"/>
      <c r="N21" s="27"/>
      <c r="O21" s="27"/>
      <c r="P21" s="27"/>
    </row>
    <row r="22" spans="8:16" x14ac:dyDescent="0.3">
      <c r="H22" s="27"/>
      <c r="I22" s="27"/>
      <c r="J22" s="27"/>
      <c r="K22" s="27"/>
      <c r="L22" s="27"/>
      <c r="M22" s="27"/>
      <c r="N22" s="27"/>
      <c r="O22" s="27"/>
      <c r="P22" s="27"/>
    </row>
    <row r="23" spans="8:16" x14ac:dyDescent="0.3">
      <c r="H23" s="27"/>
      <c r="I23" s="27"/>
      <c r="J23" s="27"/>
      <c r="K23" s="27"/>
      <c r="L23" s="27"/>
      <c r="M23" s="27"/>
      <c r="N23" s="27"/>
      <c r="O23" s="27"/>
      <c r="P23" s="27"/>
    </row>
    <row r="24" spans="8:16" x14ac:dyDescent="0.3">
      <c r="H24" s="27"/>
      <c r="I24" s="27"/>
      <c r="J24" s="27"/>
      <c r="K24" s="27"/>
      <c r="L24" s="27"/>
      <c r="M24" s="27"/>
      <c r="N24" s="27"/>
      <c r="O24" s="27"/>
      <c r="P24" s="27"/>
    </row>
    <row r="25" spans="8:16" x14ac:dyDescent="0.3">
      <c r="H25" s="27"/>
      <c r="I25" s="27"/>
      <c r="J25" s="27"/>
      <c r="K25" s="27"/>
      <c r="L25" s="27"/>
      <c r="M25" s="27"/>
      <c r="N25" s="27"/>
      <c r="O25" s="27"/>
      <c r="P25" s="27"/>
    </row>
    <row r="26" spans="8:16" x14ac:dyDescent="0.3">
      <c r="H26" s="27"/>
      <c r="I26" s="27"/>
      <c r="J26" s="27"/>
      <c r="K26" s="27"/>
      <c r="L26" s="27"/>
      <c r="M26" s="27"/>
      <c r="N26" s="27"/>
      <c r="O26" s="27"/>
      <c r="P26" s="27"/>
    </row>
    <row r="27" spans="8:16" x14ac:dyDescent="0.3">
      <c r="H27" s="27"/>
      <c r="I27" s="27"/>
      <c r="J27" s="27"/>
      <c r="K27" s="27"/>
      <c r="L27" s="27"/>
      <c r="M27" s="27"/>
      <c r="N27" s="27"/>
      <c r="O27" s="27"/>
      <c r="P27" s="27"/>
    </row>
  </sheetData>
  <dataValidations disablePrompts="1" count="1">
    <dataValidation type="list" allowBlank="1" showErrorMessage="1" sqref="I1:N1" xr:uid="{D657FC28-B750-40CD-AE51-8627FB87785A}">
      <formula1>$A$2:$A$8</formula1>
    </dataValidation>
  </dataValidations>
  <hyperlinks>
    <hyperlink ref="B2" r:id="rId1" xr:uid="{520E7492-FFBB-4D04-99DD-741A3E8104DD}"/>
    <hyperlink ref="B6" r:id="rId2" xr:uid="{5582EF1C-B2C4-486C-8879-829BAA84674C}"/>
    <hyperlink ref="B10" r:id="rId3" xr:uid="{703C8E57-3D95-4AFB-BEF4-2542D34CF567}"/>
    <hyperlink ref="B8" r:id="rId4" xr:uid="{A013CE4A-C49A-4F3A-B864-A13B416C1226}"/>
    <hyperlink ref="B5" r:id="rId5" xr:uid="{0762812B-D520-45DA-834D-67408B8FBF6D}"/>
    <hyperlink ref="B7" r:id="rId6" xr:uid="{6C6D8298-90C7-47B7-9657-58DB111221C7}"/>
    <hyperlink ref="B9" r:id="rId7" xr:uid="{52C3108B-AF8C-4352-90F8-BC501505E689}"/>
    <hyperlink ref="B11" r:id="rId8" xr:uid="{2B7B22F0-A34C-419A-89BE-B3DF8DBE3B39}"/>
    <hyperlink ref="B12" r:id="rId9" xr:uid="{00000000-0004-0000-0300-000008000000}"/>
    <hyperlink ref="B13" r:id="rId10" xr:uid="{00000000-0004-0000-0300-000009000000}"/>
    <hyperlink ref="B14" r:id="rId11" xr:uid="{00000000-0004-0000-0300-00000A000000}"/>
    <hyperlink ref="B15" r:id="rId12" xr:uid="{48A91A7A-D92D-4E11-962A-3D45A2D78CBD}"/>
  </hyperlinks>
  <pageMargins left="0.7" right="0.7" top="0.75" bottom="0.75" header="0.3" footer="0.3"/>
  <pageSetup paperSize="9" orientation="portrait" r:id="rId1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Правила смены статусов</vt:lpstr>
      <vt:lpstr>Роли</vt:lpstr>
      <vt:lpstr>Статусы и Роли</vt:lpstr>
      <vt:lpstr>Пользователи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Shammasov Max</dc:creator>
  <cp:lastModifiedBy>Shammasov Max</cp:lastModifiedBy>
  <dcterms:created xsi:type="dcterms:W3CDTF">2022-08-06T05:18:16Z</dcterms:created>
  <dcterms:modified xsi:type="dcterms:W3CDTF">2022-10-05T07:50:23Z</dcterms:modified>
</cp:coreProperties>
</file>