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Workbook________"/>
  <mc:AlternateContent xmlns:mc="http://schemas.openxmlformats.org/markup-compatibility/2006">
    <mc:Choice Requires="x15">
      <x15ac:absPath xmlns:x15ac="http://schemas.microsoft.com/office/spreadsheetml/2010/11/ac" url="C:\work\stone\packages\service\src\excel-config\"/>
    </mc:Choice>
  </mc:AlternateContent>
  <xr:revisionPtr revIDLastSave="0" documentId="13_ncr:1_{79CDD0A6-8763-47CE-8167-309CD7635BE7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Инструкция" sheetId="6" r:id="rId1"/>
    <sheet name="users" sheetId="5" r:id="rId2"/>
    <sheet name="statuses" sheetId="1" r:id="rId3"/>
    <sheet name="acl" sheetId="4" r:id="rId4"/>
    <sheet name="roles" sheetId="2" r:id="rId5"/>
    <sheet name="access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1" l="1"/>
  <c r="B4" i="1"/>
  <c r="B10" i="1"/>
  <c r="B5" i="1"/>
  <c r="B7" i="1"/>
  <c r="B2" i="1"/>
  <c r="B3" i="1"/>
  <c r="B8" i="1"/>
  <c r="B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A348DDD-B10B-4798-9E3A-70B2FD5BB3D8}" keepAlive="1" name="Запрос — Таблица1" description="Соединение с запросом &quot;Таблица1&quot; в книге." type="5" refreshedVersion="0" background="1">
    <dbPr connection="Provider=Microsoft.Mashup.OleDb.1;Data Source=$Workbook$;Location=Таблица1;Extended Properties=&quot;&quot;" command="SELECT * FROM [Таблица1]"/>
  </connection>
</connections>
</file>

<file path=xl/sharedStrings.xml><?xml version="1.0" encoding="utf-8"?>
<sst xmlns="http://schemas.openxmlformats.org/spreadsheetml/2006/main" count="107" uniqueCount="82">
  <si>
    <t>statusId</t>
  </si>
  <si>
    <t>title</t>
  </si>
  <si>
    <t>color</t>
  </si>
  <si>
    <t>name</t>
  </si>
  <si>
    <t>UNKNOWN</t>
  </si>
  <si>
    <t>DESIGED</t>
  </si>
  <si>
    <t>ORDERED</t>
  </si>
  <si>
    <t>PAYED</t>
  </si>
  <si>
    <t>MANUFACTURED</t>
  </si>
  <si>
    <t>DELIVERED</t>
  </si>
  <si>
    <t>MOUNTED</t>
  </si>
  <si>
    <t>ACCEPTED</t>
  </si>
  <si>
    <t>DAMAGED</t>
  </si>
  <si>
    <t>Неизветен</t>
  </si>
  <si>
    <t>Спроектирован</t>
  </si>
  <si>
    <t>Заказан</t>
  </si>
  <si>
    <t>Оплачен</t>
  </si>
  <si>
    <t>Изготовлен</t>
  </si>
  <si>
    <t>Доставлен/принят</t>
  </si>
  <si>
    <t>Смонтирован</t>
  </si>
  <si>
    <t>Принят стройконтролем</t>
  </si>
  <si>
    <t>Поврежден\требует замены</t>
  </si>
  <si>
    <t>Строитель</t>
  </si>
  <si>
    <t>Фасадчик</t>
  </si>
  <si>
    <t>Архитектор</t>
  </si>
  <si>
    <t>Снабженец</t>
  </si>
  <si>
    <t>Админ</t>
  </si>
  <si>
    <t>Наблюдатель</t>
  </si>
  <si>
    <t>Технадзор</t>
  </si>
  <si>
    <t>Строитель,Снабженец,Технадзор</t>
  </si>
  <si>
    <t xml:space="preserve"> роль</t>
  </si>
  <si>
    <t>исходный статус</t>
  </si>
  <si>
    <t>целевой статус</t>
  </si>
  <si>
    <t>userId</t>
  </si>
  <si>
    <t>email</t>
  </si>
  <si>
    <t>имя</t>
  </si>
  <si>
    <t>фамилия</t>
  </si>
  <si>
    <t>компания</t>
  </si>
  <si>
    <t>должность</t>
  </si>
  <si>
    <t>пароль</t>
  </si>
  <si>
    <t>miramaxis@gmail.com</t>
  </si>
  <si>
    <t>Максим</t>
  </si>
  <si>
    <t>Шаммасов</t>
  </si>
  <si>
    <t>WebStone</t>
  </si>
  <si>
    <t>Инженер-программист</t>
  </si>
  <si>
    <t>Василий</t>
  </si>
  <si>
    <t>Поставкин</t>
  </si>
  <si>
    <t>Some EU Logistics</t>
  </si>
  <si>
    <t>miramaxis+supplier@gmail.com</t>
  </si>
  <si>
    <t>Экспидитор</t>
  </si>
  <si>
    <t>miramaxis+clerk@gmail.com</t>
  </si>
  <si>
    <t>Анжела</t>
  </si>
  <si>
    <t>Проверина</t>
  </si>
  <si>
    <t>МУП МосТест</t>
  </si>
  <si>
    <t>Инженер технадхора</t>
  </si>
  <si>
    <t>miramaxis+contractor@gmail.com</t>
  </si>
  <si>
    <t>Владислав</t>
  </si>
  <si>
    <t>Умелый</t>
  </si>
  <si>
    <t>ООО Подрядчик</t>
  </si>
  <si>
    <t>главный инженер</t>
  </si>
  <si>
    <t>Фасадчик,Строитель</t>
  </si>
  <si>
    <t>Заполните один из вариантов описания  прав переключения статусов по ролям
Либо  statuses в виде матрицы ролей по переходам между статусами
Либо acl в виде плоского списка правил переходов к каждой роли
(обратное переключение статуса камня может быть запрещено - и это логично. Однако пользователь сделавший переключение статуса - может переключить статус в предыдущее состояние, сделать шаг обратно без специального правила)</t>
  </si>
  <si>
    <t>Перечислите пользователей, у одного пользователя может быть несколько ролей, одна , либо ни одной</t>
  </si>
  <si>
    <t>Роли roles заданы фиксировано, добавление новых названий ролей в данной книге не предусмотрено</t>
  </si>
  <si>
    <t>project</t>
  </si>
  <si>
    <t>Mockup</t>
  </si>
  <si>
    <t>Лаврушинский К-1</t>
  </si>
  <si>
    <t>4 кирпича</t>
  </si>
  <si>
    <t>роли по умолчанию, елси * - доступны все роли</t>
  </si>
  <si>
    <t>*</t>
  </si>
  <si>
    <t>роли, если * - список ролей по умолчанию из  users</t>
  </si>
  <si>
    <t>email, если *, проект доступен всем</t>
  </si>
  <si>
    <t>id</t>
  </si>
  <si>
    <t>Название роли</t>
  </si>
  <si>
    <t>идентификатор</t>
  </si>
  <si>
    <t>Админ,Строитель,Архитектор</t>
  </si>
  <si>
    <t>Сергей</t>
  </si>
  <si>
    <t>Труфанов</t>
  </si>
  <si>
    <t>ООО ГенСтрой</t>
  </si>
  <si>
    <t>Исполнительный директор</t>
  </si>
  <si>
    <t>Админ,Снабженец,Наблюдатель</t>
  </si>
  <si>
    <t>trufanov@gmail.com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</si>
</sst>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1677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F99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Font="1"/>
    <xf numFmtId="0" fontId="2" fillId="0" borderId="0" xfId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7030A0"/>
      <color rgb="FFFF9900"/>
      <color rgb="FFFF33CC"/>
      <color rgb="FFC5D86D"/>
      <color rgb="FFE2F5FE"/>
      <color rgb="FF1677FF"/>
      <color rgb="FF00B1F2"/>
      <color rgb="FFC4BBAF"/>
      <color rgb="FFE2C044"/>
      <color rgb="FF69D2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miramaxis+clerk@gmail.com" TargetMode="External"/><Relationship Id="rId2" Type="http://schemas.openxmlformats.org/officeDocument/2006/relationships/hyperlink" Target="mailto:miramaxis+supplier@gmail.com" TargetMode="External"/><Relationship Id="rId1" Type="http://schemas.openxmlformats.org/officeDocument/2006/relationships/hyperlink" Target="mailto:miramaxis@gmail.com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trufanov@gmail.com" TargetMode="External"/><Relationship Id="rId4" Type="http://schemas.openxmlformats.org/officeDocument/2006/relationships/hyperlink" Target="mailto:miramaxis+contractor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89612-1D18-439B-9729-CDAF9B28F130}">
  <sheetPr codeName="Worksheet____1"/>
  <dimension ref="A1:A3"/>
  <sheetViews>
    <sheetView zoomScaleNormal="100" workbookViewId="0">
      <selection activeCell="A4" sqref="A4"/>
    </sheetView>
  </sheetViews>
  <sheetFormatPr defaultRowHeight="14.4" x14ac:dyDescent="0.3"/>
  <cols>
    <col min="1" max="1" width="96.33203125" customWidth="1"/>
  </cols>
  <sheetData>
    <row r="1" spans="1:1" ht="102.6" customHeight="1" x14ac:dyDescent="0.3">
      <c r="A1" s="4" t="s">
        <v>61</v>
      </c>
    </row>
    <row r="2" spans="1:1" x14ac:dyDescent="0.3">
      <c r="A2" t="s">
        <v>62</v>
      </c>
    </row>
    <row r="3" spans="1:1" x14ac:dyDescent="0.3">
      <c r="A3" t="s">
        <v>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D66DA-F5E3-4680-ACD7-F426E47B3792}">
  <sheetPr codeName="Worksheet____5"/>
  <dimension ref="A1:H6"/>
  <sheetViews>
    <sheetView workbookViewId="0">
      <selection activeCell="A7" sqref="A7"/>
    </sheetView>
  </sheetViews>
  <sheetFormatPr defaultRowHeight="14.4" x14ac:dyDescent="0.3"/>
  <cols>
    <col min="2" max="2" width="26.6640625" customWidth="1"/>
    <col min="7" max="7" width="22" customWidth="1"/>
    <col min="8" max="8" width="31.109375" customWidth="1"/>
  </cols>
  <sheetData>
    <row r="1" spans="1:8" x14ac:dyDescent="0.3">
      <c r="A1" t="s">
        <v>33</v>
      </c>
      <c r="B1" t="s">
        <v>34</v>
      </c>
      <c r="C1" t="s">
        <v>39</v>
      </c>
      <c r="D1" t="s">
        <v>35</v>
      </c>
      <c r="E1" t="s">
        <v>36</v>
      </c>
      <c r="F1" t="s">
        <v>37</v>
      </c>
      <c r="G1" t="s">
        <v>38</v>
      </c>
      <c r="H1" t="s">
        <v>68</v>
      </c>
    </row>
    <row r="2" spans="1:8" x14ac:dyDescent="0.3">
      <c r="A2">
        <v>1</v>
      </c>
      <c r="B2" s="3" t="s">
        <v>40</v>
      </c>
      <c r="C2">
        <v>123456</v>
      </c>
      <c r="D2" t="s">
        <v>41</v>
      </c>
      <c r="E2" t="s">
        <v>42</v>
      </c>
      <c r="F2" t="s">
        <v>43</v>
      </c>
      <c r="G2" t="s">
        <v>44</v>
      </c>
      <c r="H2" t="s">
        <v>75</v>
      </c>
    </row>
    <row r="3" spans="1:8" x14ac:dyDescent="0.3">
      <c r="A3">
        <v>2</v>
      </c>
      <c r="B3" s="3" t="s">
        <v>48</v>
      </c>
      <c r="C3">
        <v>123456</v>
      </c>
      <c r="D3" t="s">
        <v>45</v>
      </c>
      <c r="E3" t="s">
        <v>46</v>
      </c>
      <c r="F3" t="s">
        <v>47</v>
      </c>
      <c r="G3" t="s">
        <v>49</v>
      </c>
      <c r="H3" t="s">
        <v>25</v>
      </c>
    </row>
    <row r="4" spans="1:8" x14ac:dyDescent="0.3">
      <c r="A4">
        <v>3</v>
      </c>
      <c r="B4" s="3" t="s">
        <v>50</v>
      </c>
      <c r="C4">
        <v>123456</v>
      </c>
      <c r="D4" t="s">
        <v>51</v>
      </c>
      <c r="E4" t="s">
        <v>52</v>
      </c>
      <c r="F4" t="s">
        <v>53</v>
      </c>
      <c r="G4" t="s">
        <v>54</v>
      </c>
      <c r="H4" t="s">
        <v>28</v>
      </c>
    </row>
    <row r="5" spans="1:8" x14ac:dyDescent="0.3">
      <c r="A5">
        <v>4</v>
      </c>
      <c r="B5" s="3" t="s">
        <v>55</v>
      </c>
      <c r="C5">
        <v>123456</v>
      </c>
      <c r="D5" t="s">
        <v>56</v>
      </c>
      <c r="E5" t="s">
        <v>57</v>
      </c>
      <c r="F5" t="s">
        <v>58</v>
      </c>
      <c r="G5" t="s">
        <v>59</v>
      </c>
      <c r="H5" t="s">
        <v>60</v>
      </c>
    </row>
    <row r="6" spans="1:8" x14ac:dyDescent="0.3">
      <c r="A6">
        <v>5</v>
      </c>
      <c r="B6" s="3" t="s">
        <v>81</v>
      </c>
      <c r="C6">
        <v>123456</v>
      </c>
      <c r="D6" t="s">
        <v>76</v>
      </c>
      <c r="E6" t="s">
        <v>77</v>
      </c>
      <c r="F6" t="s">
        <v>78</v>
      </c>
      <c r="G6" t="s">
        <v>79</v>
      </c>
      <c r="H6" t="s">
        <v>80</v>
      </c>
    </row>
  </sheetData>
  <hyperlinks>
    <hyperlink ref="B2" r:id="rId1" xr:uid="{520E7492-FFBB-4D04-99DD-741A3E8104DD}"/>
    <hyperlink ref="B3" r:id="rId2" xr:uid="{5582EF1C-B2C4-486C-8879-829BAA84674C}"/>
    <hyperlink ref="B4" r:id="rId3" xr:uid="{703C8E57-3D95-4AFB-BEF4-2542D34CF567}"/>
    <hyperlink ref="B5" r:id="rId4" xr:uid="{A013CE4A-C49A-4F3A-B864-A13B416C1226}"/>
    <hyperlink ref="B6" r:id="rId5" xr:uid="{B6897E3F-0CFF-4D5E-89F9-F3F60CD8C9ED}"/>
  </hyperlinks>
  <pageMargins left="0.7" right="0.7" top="0.75" bottom="0.75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68300E09-0C7B-4E82-B10E-9EEFAFB3033E}">
          <x14:formula1>
            <xm:f>roles!$A$1:$A$8</xm:f>
          </x14:formula1>
          <xm:sqref>H2:H19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2"/>
  <dimension ref="A1:P10"/>
  <sheetViews>
    <sheetView tabSelected="1" workbookViewId="0">
      <selection activeCell="E10" sqref="E10"/>
    </sheetView>
  </sheetViews>
  <sheetFormatPr defaultRowHeight="14.4" x14ac:dyDescent="0.3"/>
  <cols>
    <col min="1" max="1" width="12.21875" customWidth="1"/>
    <col min="3" max="3" width="16" customWidth="1"/>
    <col min="4" max="5" width="26.33203125" customWidth="1"/>
    <col min="6" max="6" width="19.88671875" bestFit="1" customWidth="1"/>
    <col min="7" max="7" width="24.109375" customWidth="1"/>
    <col min="8" max="8" width="18.88671875" customWidth="1"/>
    <col min="9" max="9" width="8.88671875" customWidth="1"/>
    <col min="10" max="10" width="19.88671875" customWidth="1"/>
    <col min="11" max="11" width="12.21875" customWidth="1"/>
    <col min="12" max="12" width="14.109375" customWidth="1"/>
    <col min="13" max="13" width="21" customWidth="1"/>
    <col min="14" max="14" width="26.6640625" customWidth="1"/>
    <col min="15" max="15" width="23.33203125" customWidth="1"/>
  </cols>
  <sheetData>
    <row r="1" spans="1:16" x14ac:dyDescent="0.3">
      <c r="A1" t="s">
        <v>0</v>
      </c>
      <c r="B1" t="s">
        <v>2</v>
      </c>
      <c r="C1" t="s">
        <v>1</v>
      </c>
      <c r="D1" t="s">
        <v>3</v>
      </c>
      <c r="E1">
        <v>-1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</row>
    <row r="2" spans="1:16" x14ac:dyDescent="0.3">
      <c r="A2" s="6">
        <v>0</v>
      </c>
      <c r="B2" t="str">
        <f t="shared" ref="B2:B10" si="0">_xlfn.CONCAT("#",getRGB1(A2))</f>
        <v>#E6E6E6</v>
      </c>
      <c r="C2" t="s">
        <v>4</v>
      </c>
      <c r="D2" t="s">
        <v>13</v>
      </c>
      <c r="F2" s="2"/>
      <c r="G2" s="2" t="s">
        <v>28</v>
      </c>
      <c r="H2" s="2"/>
      <c r="I2" s="2"/>
      <c r="J2" s="2"/>
      <c r="K2" s="2"/>
      <c r="L2" s="2"/>
      <c r="M2" s="2"/>
      <c r="N2" s="2"/>
      <c r="P2" t="s">
        <v>25</v>
      </c>
    </row>
    <row r="3" spans="1:16" x14ac:dyDescent="0.3">
      <c r="A3" s="8">
        <v>1</v>
      </c>
      <c r="B3" t="str">
        <f t="shared" si="0"/>
        <v>#7030A0</v>
      </c>
      <c r="C3" t="s">
        <v>5</v>
      </c>
      <c r="D3" t="s">
        <v>14</v>
      </c>
      <c r="F3" s="2"/>
      <c r="G3" s="2"/>
      <c r="H3" s="2"/>
      <c r="I3" s="2"/>
      <c r="J3" s="2"/>
      <c r="K3" s="2"/>
      <c r="L3" s="2"/>
      <c r="M3" s="2"/>
      <c r="N3" s="2"/>
    </row>
    <row r="4" spans="1:16" x14ac:dyDescent="0.3">
      <c r="A4" s="7">
        <v>2</v>
      </c>
      <c r="B4" t="str">
        <f t="shared" si="0"/>
        <v>#1677FF</v>
      </c>
      <c r="C4" t="s">
        <v>6</v>
      </c>
      <c r="D4" t="s">
        <v>15</v>
      </c>
      <c r="F4" s="2"/>
      <c r="G4" s="2"/>
      <c r="H4" s="2"/>
      <c r="I4" s="2"/>
      <c r="J4" s="2"/>
      <c r="K4" s="2"/>
      <c r="L4" s="2"/>
      <c r="M4" s="2"/>
      <c r="N4" s="2"/>
    </row>
    <row r="5" spans="1:16" x14ac:dyDescent="0.3">
      <c r="A5" s="11">
        <v>3</v>
      </c>
      <c r="B5" t="str">
        <f t="shared" si="0"/>
        <v>#C6E0B4</v>
      </c>
      <c r="C5" t="s">
        <v>7</v>
      </c>
      <c r="D5" t="s">
        <v>16</v>
      </c>
      <c r="F5" s="2"/>
      <c r="G5" s="2"/>
      <c r="H5" s="2"/>
      <c r="I5" s="2"/>
      <c r="J5" s="2"/>
      <c r="K5" s="2"/>
      <c r="L5" s="2"/>
      <c r="M5" s="2"/>
      <c r="N5" s="2"/>
    </row>
    <row r="6" spans="1:16" x14ac:dyDescent="0.3">
      <c r="A6" s="5">
        <v>4</v>
      </c>
      <c r="B6" t="str">
        <f>_xlfn.CONCAT("#",getRGB1(A6))</f>
        <v>#FFFF00</v>
      </c>
      <c r="C6" t="s">
        <v>8</v>
      </c>
      <c r="D6" t="s">
        <v>17</v>
      </c>
      <c r="F6" s="2"/>
      <c r="G6" s="2"/>
      <c r="H6" s="2"/>
      <c r="I6" s="2"/>
      <c r="J6" s="2"/>
      <c r="K6" s="2"/>
      <c r="L6" s="2"/>
      <c r="M6" s="2"/>
      <c r="N6" s="2"/>
    </row>
    <row r="7" spans="1:16" x14ac:dyDescent="0.3">
      <c r="A7" s="13">
        <v>5</v>
      </c>
      <c r="B7" t="str">
        <f t="shared" si="0"/>
        <v>#FF9900</v>
      </c>
      <c r="C7" t="s">
        <v>9</v>
      </c>
      <c r="D7" t="s">
        <v>18</v>
      </c>
      <c r="F7" s="2"/>
      <c r="G7" s="2"/>
      <c r="H7" s="2"/>
      <c r="I7" s="2"/>
      <c r="J7" s="2"/>
      <c r="K7" s="2"/>
      <c r="L7" s="2"/>
      <c r="M7" s="2"/>
      <c r="N7" s="2"/>
    </row>
    <row r="8" spans="1:16" x14ac:dyDescent="0.3">
      <c r="A8" s="12">
        <v>6</v>
      </c>
      <c r="B8" t="str">
        <f t="shared" si="0"/>
        <v>#FF33CC</v>
      </c>
      <c r="C8" t="s">
        <v>10</v>
      </c>
      <c r="D8" t="s">
        <v>19</v>
      </c>
      <c r="F8" s="2"/>
      <c r="G8" s="2"/>
      <c r="H8" s="2"/>
      <c r="I8" s="2"/>
      <c r="J8" s="2"/>
      <c r="K8" s="2"/>
      <c r="L8" s="2"/>
      <c r="M8" s="2" t="s">
        <v>28</v>
      </c>
      <c r="N8" s="2"/>
    </row>
    <row r="9" spans="1:16" x14ac:dyDescent="0.3">
      <c r="A9" s="9">
        <v>7</v>
      </c>
      <c r="B9" t="str">
        <f t="shared" si="0"/>
        <v>#00B050</v>
      </c>
      <c r="C9" t="s">
        <v>11</v>
      </c>
      <c r="D9" t="s">
        <v>20</v>
      </c>
      <c r="F9" s="2"/>
      <c r="G9" s="2"/>
      <c r="H9" s="2"/>
      <c r="I9" s="2"/>
      <c r="J9" s="2"/>
      <c r="K9" s="2"/>
      <c r="L9" s="2"/>
      <c r="M9" s="2"/>
      <c r="N9" s="2"/>
    </row>
    <row r="10" spans="1:16" x14ac:dyDescent="0.3">
      <c r="A10" s="10">
        <v>8</v>
      </c>
      <c r="B10" t="str">
        <f t="shared" si="0"/>
        <v>#FF0000</v>
      </c>
      <c r="C10" t="s">
        <v>12</v>
      </c>
      <c r="D10" t="s">
        <v>21</v>
      </c>
      <c r="F10" s="2"/>
      <c r="G10" s="2"/>
      <c r="H10" s="2"/>
      <c r="I10" s="2"/>
      <c r="J10" s="2"/>
      <c r="K10" s="2"/>
      <c r="L10" s="2"/>
      <c r="M10" s="2"/>
      <c r="N10" s="2" t="s">
        <v>29</v>
      </c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D688C0E-B82D-406A-86E8-88E45EBDECEE}">
          <x14:formula1>
            <xm:f>roles!$A$2:$A$8</xm:f>
          </x14:formula1>
          <xm:sqref>P2</xm:sqref>
        </x14:dataValidation>
        <x14:dataValidation type="list" showInputMessage="1" showErrorMessage="1" xr:uid="{D9B51908-3845-4F19-9B6F-3B766882F205}">
          <x14:formula1>
            <xm:f>roles!$A$1:$A$8</xm:f>
          </x14:formula1>
          <xm:sqref>F14</xm:sqref>
        </x14:dataValidation>
        <x14:dataValidation type="list" xr:uid="{99BE7162-EC50-48E5-9322-64C72ABEC9DA}">
          <x14:formula1>
            <xm:f>roles!$A$1:$A$8</xm:f>
          </x14:formula1>
          <xm:sqref>F2:N10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87B39-466F-4727-B3FD-5A1D026152D1}">
  <sheetPr codeName="Worksheet____4"/>
  <dimension ref="A1:C4"/>
  <sheetViews>
    <sheetView workbookViewId="0">
      <selection activeCell="C2" sqref="C2"/>
    </sheetView>
  </sheetViews>
  <sheetFormatPr defaultRowHeight="14.4" x14ac:dyDescent="0.3"/>
  <cols>
    <col min="2" max="2" width="28.6640625" customWidth="1"/>
    <col min="3" max="3" width="16.44140625" customWidth="1"/>
  </cols>
  <sheetData>
    <row r="1" spans="1:3" x14ac:dyDescent="0.3">
      <c r="A1" t="s">
        <v>30</v>
      </c>
      <c r="B1" t="s">
        <v>31</v>
      </c>
      <c r="C1" t="s">
        <v>32</v>
      </c>
    </row>
    <row r="2" spans="1:3" x14ac:dyDescent="0.3">
      <c r="A2" t="s">
        <v>24</v>
      </c>
      <c r="B2" t="s">
        <v>13</v>
      </c>
      <c r="C2" t="s">
        <v>14</v>
      </c>
    </row>
    <row r="3" spans="1:3" x14ac:dyDescent="0.3">
      <c r="A3" t="s">
        <v>24</v>
      </c>
      <c r="B3" t="s">
        <v>19</v>
      </c>
      <c r="C3" t="s">
        <v>21</v>
      </c>
    </row>
    <row r="4" spans="1:3" x14ac:dyDescent="0.3">
      <c r="A4" t="s">
        <v>26</v>
      </c>
      <c r="B4" t="s">
        <v>69</v>
      </c>
      <c r="C4" t="s">
        <v>69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9E56F4C-0C2A-4796-87B5-583C66150CFD}">
          <x14:formula1>
            <xm:f>roles!$A$2:$A$8</xm:f>
          </x14:formula1>
          <xm:sqref>A2:A62</xm:sqref>
        </x14:dataValidation>
        <x14:dataValidation type="list" allowBlank="1" showInputMessage="1" showErrorMessage="1" xr:uid="{4C2B6CAE-6BA0-4497-9C7F-FF4294516AE8}">
          <x14:formula1>
            <xm:f>statuses!$D$2:$D$10</xm:f>
          </x14:formula1>
          <xm:sqref>B2:C62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E0D13-6D6A-404F-8EE4-7A5C60002A09}">
  <sheetPr codeName="Worksheet____3"/>
  <dimension ref="A1:B11"/>
  <sheetViews>
    <sheetView workbookViewId="0">
      <selection activeCell="D9" sqref="D9"/>
    </sheetView>
  </sheetViews>
  <sheetFormatPr defaultRowHeight="14.4" x14ac:dyDescent="0.3"/>
  <cols>
    <col min="1" max="1" width="21.5546875" customWidth="1"/>
  </cols>
  <sheetData>
    <row r="1" spans="1:2" x14ac:dyDescent="0.3">
      <c r="A1" t="s">
        <v>73</v>
      </c>
      <c r="B1" t="s">
        <v>74</v>
      </c>
    </row>
    <row r="2" spans="1:2" x14ac:dyDescent="0.3">
      <c r="A2" t="s">
        <v>26</v>
      </c>
      <c r="B2">
        <v>0</v>
      </c>
    </row>
    <row r="3" spans="1:2" x14ac:dyDescent="0.3">
      <c r="A3" t="s">
        <v>22</v>
      </c>
      <c r="B3">
        <v>1</v>
      </c>
    </row>
    <row r="4" spans="1:2" x14ac:dyDescent="0.3">
      <c r="A4" t="s">
        <v>25</v>
      </c>
      <c r="B4">
        <v>2</v>
      </c>
    </row>
    <row r="5" spans="1:2" x14ac:dyDescent="0.3">
      <c r="A5" t="s">
        <v>28</v>
      </c>
      <c r="B5">
        <v>3</v>
      </c>
    </row>
    <row r="6" spans="1:2" x14ac:dyDescent="0.3">
      <c r="A6" t="s">
        <v>23</v>
      </c>
      <c r="B6">
        <v>4</v>
      </c>
    </row>
    <row r="7" spans="1:2" x14ac:dyDescent="0.3">
      <c r="A7" t="s">
        <v>24</v>
      </c>
      <c r="B7">
        <v>5</v>
      </c>
    </row>
    <row r="8" spans="1:2" x14ac:dyDescent="0.3">
      <c r="A8" t="s">
        <v>27</v>
      </c>
      <c r="B8">
        <v>6</v>
      </c>
    </row>
    <row r="9" spans="1:2" ht="18" x14ac:dyDescent="0.3">
      <c r="A9" s="1"/>
    </row>
    <row r="11" spans="1:2" ht="18" x14ac:dyDescent="0.3">
      <c r="A11" s="1"/>
    </row>
  </sheetData>
  <dataValidations count="1">
    <dataValidation type="list" allowBlank="1" showInputMessage="1" showErrorMessage="1" sqref="A2:A8 C2:C8" xr:uid="{CB223D1D-4722-439F-8CB1-C90F4623CB89}">
      <formula1>$A$2:$A$8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412DA-25A4-4702-A8B9-93A0909E0911}">
  <sheetPr codeName="Worksheet____21"/>
  <dimension ref="A1:D6"/>
  <sheetViews>
    <sheetView workbookViewId="0">
      <selection activeCell="C3" sqref="C3"/>
    </sheetView>
  </sheetViews>
  <sheetFormatPr defaultRowHeight="14.4" x14ac:dyDescent="0.3"/>
  <cols>
    <col min="2" max="2" width="24.88671875" customWidth="1"/>
    <col min="3" max="3" width="50" customWidth="1"/>
    <col min="4" max="4" width="24.33203125" customWidth="1"/>
  </cols>
  <sheetData>
    <row r="1" spans="1:4" x14ac:dyDescent="0.3">
      <c r="A1" t="s">
        <v>72</v>
      </c>
      <c r="B1" t="s">
        <v>64</v>
      </c>
      <c r="C1" t="s">
        <v>71</v>
      </c>
      <c r="D1" t="s">
        <v>70</v>
      </c>
    </row>
    <row r="2" spans="1:4" x14ac:dyDescent="0.3">
      <c r="A2">
        <v>2</v>
      </c>
      <c r="B2" t="s">
        <v>65</v>
      </c>
      <c r="C2" t="s">
        <v>40</v>
      </c>
      <c r="D2" t="s">
        <v>69</v>
      </c>
    </row>
    <row r="3" spans="1:4" x14ac:dyDescent="0.3">
      <c r="A3">
        <v>2</v>
      </c>
      <c r="B3" t="s">
        <v>65</v>
      </c>
      <c r="C3" t="s">
        <v>55</v>
      </c>
      <c r="D3" t="s">
        <v>25</v>
      </c>
    </row>
    <row r="4" spans="1:4" x14ac:dyDescent="0.3">
      <c r="A4">
        <v>2</v>
      </c>
      <c r="B4" t="s">
        <v>65</v>
      </c>
      <c r="C4" t="s">
        <v>55</v>
      </c>
      <c r="D4" t="s">
        <v>28</v>
      </c>
    </row>
    <row r="5" spans="1:4" x14ac:dyDescent="0.3">
      <c r="A5">
        <v>1</v>
      </c>
      <c r="B5" t="s">
        <v>66</v>
      </c>
      <c r="C5" t="s">
        <v>40</v>
      </c>
      <c r="D5" t="s">
        <v>60</v>
      </c>
    </row>
    <row r="6" spans="1:4" x14ac:dyDescent="0.3">
      <c r="A6">
        <v>0</v>
      </c>
      <c r="B6" t="s">
        <v>67</v>
      </c>
      <c r="C6" t="s">
        <v>69</v>
      </c>
      <c r="D6" t="s">
        <v>26</v>
      </c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68300E09-0C7B-4E82-B10E-9EEFAFB3033E}">
          <x14:formula1>
            <xm:f>roles!$A$1:$A$8</xm:f>
          </x14:formula1>
          <xm:sqref>D2:D16</xm:sqref>
        </x14:dataValidation>
        <x14:dataValidation type="list" allowBlank="1" showInputMessage="1" showErrorMessage="1" xr:uid="{EEF9ECBE-9BF3-473A-AD18-CD07B2D65407}">
          <x14:formula1>
            <xm:f>users!$B$2:$B$30</xm:f>
          </x14:formula1>
          <xm:sqref>C2:C21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7748114-C7A5-40B0-920F-B613E6BFAA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Инструкция</vt:lpstr>
      <vt:lpstr>users</vt:lpstr>
      <vt:lpstr>statuses</vt:lpstr>
      <vt:lpstr>acl</vt:lpstr>
      <vt:lpstr>roles</vt:lpstr>
      <vt:lpstr>access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Shammasov Max</dc:creator>
  <cp:lastModifiedBy>Shammasov Max</cp:lastModifiedBy>
  <dcterms:created xsi:type="dcterms:W3CDTF">2015-06-05T18:19:34Z</dcterms:created>
  <dcterms:modified xsi:type="dcterms:W3CDTF">2022-07-04T18:58:17Z</dcterms:modified>
</cp:coreProperties>
</file>